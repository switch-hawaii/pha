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autoCompressPictures="0"/>
  <bookViews>
    <workbookView xWindow="620" yWindow="0" windowWidth="24540" windowHeight="15120" tabRatio="500"/>
  </bookViews>
  <sheets>
    <sheet name="fuel_supply_costs.t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5" i="1" l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H65" i="1"/>
  <c r="H66" i="1"/>
  <c r="H67" i="1"/>
  <c r="H68" i="1"/>
  <c r="H69" i="1"/>
  <c r="H70" i="1"/>
  <c r="H71" i="1"/>
  <c r="H64" i="1"/>
  <c r="D47" i="1"/>
  <c r="D48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B59" i="1"/>
  <c r="C59" i="1"/>
  <c r="G62" i="1"/>
  <c r="G71" i="1"/>
  <c r="E47" i="1"/>
  <c r="E4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B58" i="1"/>
  <c r="C58" i="1"/>
  <c r="F62" i="1"/>
  <c r="F71" i="1"/>
  <c r="C48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B57" i="1"/>
  <c r="C57" i="1"/>
  <c r="E62" i="1"/>
  <c r="E71" i="1"/>
  <c r="C47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B56" i="1"/>
  <c r="C56" i="1"/>
  <c r="D62" i="1"/>
  <c r="D71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B55" i="1"/>
  <c r="C55" i="1"/>
  <c r="C62" i="1"/>
  <c r="C71" i="1"/>
  <c r="G70" i="1"/>
  <c r="F70" i="1"/>
  <c r="E70" i="1"/>
  <c r="D70" i="1"/>
  <c r="C70" i="1"/>
  <c r="G69" i="1"/>
  <c r="F69" i="1"/>
  <c r="E69" i="1"/>
  <c r="D69" i="1"/>
  <c r="C69" i="1"/>
  <c r="D68" i="1"/>
  <c r="E68" i="1"/>
  <c r="F68" i="1"/>
  <c r="G68" i="1"/>
  <c r="C68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D64" i="1"/>
  <c r="E64" i="1"/>
  <c r="F64" i="1"/>
  <c r="G64" i="1"/>
  <c r="C64" i="1"/>
  <c r="E56" i="1"/>
  <c r="E57" i="1"/>
  <c r="E58" i="1"/>
  <c r="E59" i="1"/>
  <c r="E54" i="1"/>
  <c r="D54" i="1"/>
  <c r="E55" i="1"/>
  <c r="D56" i="1"/>
  <c r="D57" i="1"/>
  <c r="D58" i="1"/>
  <c r="D59" i="1"/>
  <c r="D55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C44" i="1"/>
  <c r="C43" i="1"/>
  <c r="D63" i="1"/>
  <c r="E63" i="1"/>
  <c r="F63" i="1"/>
  <c r="G63" i="1"/>
  <c r="C63" i="1"/>
  <c r="A56" i="1"/>
  <c r="A57" i="1"/>
  <c r="A58" i="1"/>
  <c r="A59" i="1"/>
  <c r="A55" i="1"/>
  <c r="B64" i="1"/>
  <c r="B65" i="1"/>
  <c r="B66" i="1"/>
  <c r="B67" i="1"/>
  <c r="B68" i="1"/>
  <c r="B69" i="1"/>
  <c r="B70" i="1"/>
  <c r="B71" i="1"/>
  <c r="A69" i="1"/>
  <c r="A70" i="1"/>
  <c r="A71" i="1"/>
  <c r="A68" i="1"/>
  <c r="A65" i="1"/>
  <c r="A66" i="1"/>
  <c r="A67" i="1"/>
  <c r="A64" i="1"/>
  <c r="G56" i="1"/>
  <c r="G57" i="1"/>
  <c r="G58" i="1"/>
  <c r="G59" i="1"/>
  <c r="G55" i="1"/>
  <c r="F56" i="1"/>
  <c r="F57" i="1"/>
  <c r="F58" i="1"/>
  <c r="F59" i="1"/>
  <c r="F55" i="1"/>
  <c r="C39" i="1"/>
  <c r="C40" i="1"/>
  <c r="C41" i="1"/>
  <c r="C38" i="1"/>
  <c r="C35" i="1"/>
  <c r="C36" i="1"/>
  <c r="C37" i="1"/>
  <c r="C34" i="1"/>
  <c r="B39" i="1"/>
  <c r="B40" i="1"/>
  <c r="B41" i="1"/>
  <c r="B38" i="1"/>
  <c r="B35" i="1"/>
  <c r="B36" i="1"/>
  <c r="B37" i="1"/>
  <c r="B34" i="1"/>
</calcChain>
</file>

<file path=xl/sharedStrings.xml><?xml version="1.0" encoding="utf-8"?>
<sst xmlns="http://schemas.openxmlformats.org/spreadsheetml/2006/main" count="59" uniqueCount="29">
  <si>
    <t>fuel</t>
  </si>
  <si>
    <t>year</t>
  </si>
  <si>
    <t>price_per_mmbtu</t>
  </si>
  <si>
    <t>Hawaii_Biodiesel</t>
  </si>
  <si>
    <t>Hawaii_Coal</t>
  </si>
  <si>
    <t>Hawaii_Diesel</t>
  </si>
  <si>
    <t>Hawaii_LNGbulk</t>
  </si>
  <si>
    <t>Hawaii_LNGcontainer</t>
  </si>
  <si>
    <t>Hawaii_LSFO</t>
  </si>
  <si>
    <t>Hawaii_LSFO-Diesel-Blend</t>
  </si>
  <si>
    <t>Hawaii_Pellet-Biomass</t>
  </si>
  <si>
    <t>Mean - Bulk LNG</t>
  </si>
  <si>
    <t>LNG outlook 2021-37</t>
  </si>
  <si>
    <t>LSFO-diesel outlook 2021-37</t>
  </si>
  <si>
    <t>min/mean/max LNG</t>
  </si>
  <si>
    <t>min/mean/max LSFO-Diesel</t>
  </si>
  <si>
    <t>dist from min/min</t>
  </si>
  <si>
    <t>dist from min/max</t>
  </si>
  <si>
    <t>dist from max/min</t>
  </si>
  <si>
    <t>dist from max/max</t>
  </si>
  <si>
    <t>min</t>
  </si>
  <si>
    <t>index</t>
  </si>
  <si>
    <t>LNG outlook</t>
  </si>
  <si>
    <t>LSFO-Diesel outlook</t>
  </si>
  <si>
    <t>LNG rank</t>
  </si>
  <si>
    <t>LSFO-diesel rank</t>
  </si>
  <si>
    <t>Mean - LSFO-Diesel</t>
  </si>
  <si>
    <t>dist from med/med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</si>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</sst>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Medium4"/>
  <colors>
    <mruColors>
      <color rgb="FFBD00FF"/>
      <color rgb="FF8000FF"/>
      <color rgb="FF7F7F7F"/>
      <color rgb="FFFF8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LNG - bulk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3881907145713"/>
          <c:y val="0.0533333333333333"/>
          <c:w val="0.789549112652309"/>
          <c:h val="0.847832539451087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fuel_supply_costs.tsv!$C$14:$C$17</c:f>
              <c:numCache>
                <c:formatCode>General</c:formatCode>
                <c:ptCount val="4"/>
                <c:pt idx="0">
                  <c:v>7.44327864516</c:v>
                </c:pt>
                <c:pt idx="1">
                  <c:v>9.75404843098</c:v>
                </c:pt>
                <c:pt idx="2">
                  <c:v>7.15058727218</c:v>
                </c:pt>
                <c:pt idx="3">
                  <c:v>7.44183154408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fuel_supply_costs.tsv!$D$14:$D$17</c:f>
              <c:numCache>
                <c:formatCode>General</c:formatCode>
                <c:ptCount val="4"/>
                <c:pt idx="0">
                  <c:v>6.13925709994</c:v>
                </c:pt>
                <c:pt idx="1">
                  <c:v>6.01772486018</c:v>
                </c:pt>
                <c:pt idx="2">
                  <c:v>6.00004686535</c:v>
                </c:pt>
                <c:pt idx="3">
                  <c:v>6.00003158121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fuel_supply_costs.tsv!$E$14:$E$17</c:f>
              <c:numCache>
                <c:formatCode>General</c:formatCode>
                <c:ptCount val="4"/>
                <c:pt idx="0">
                  <c:v>10.7895883156</c:v>
                </c:pt>
                <c:pt idx="1">
                  <c:v>6.3306736509</c:v>
                </c:pt>
                <c:pt idx="2">
                  <c:v>6.71838664887</c:v>
                </c:pt>
                <c:pt idx="3">
                  <c:v>6.1806019311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fuel_supply_costs.tsv!$F$14:$F$17</c:f>
              <c:numCache>
                <c:formatCode>General</c:formatCode>
                <c:ptCount val="4"/>
                <c:pt idx="0">
                  <c:v>13.6442628819</c:v>
                </c:pt>
                <c:pt idx="1">
                  <c:v>19.7993546546</c:v>
                </c:pt>
                <c:pt idx="2">
                  <c:v>201.616491382</c:v>
                </c:pt>
                <c:pt idx="3">
                  <c:v>193.542886293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fuel_supply_costs.tsv!$G$14:$G$17</c:f>
              <c:numCache>
                <c:formatCode>General</c:formatCode>
                <c:ptCount val="4"/>
                <c:pt idx="0">
                  <c:v>9.55919808665</c:v>
                </c:pt>
                <c:pt idx="1">
                  <c:v>6.20445757575</c:v>
                </c:pt>
                <c:pt idx="2">
                  <c:v>6.02464338066</c:v>
                </c:pt>
                <c:pt idx="3">
                  <c:v>6.01035515158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fuel_supply_costs.tsv!$H$14:$H$17</c:f>
              <c:numCache>
                <c:formatCode>General</c:formatCode>
                <c:ptCount val="4"/>
                <c:pt idx="0">
                  <c:v>14.0617437126</c:v>
                </c:pt>
                <c:pt idx="1">
                  <c:v>115.017695669</c:v>
                </c:pt>
                <c:pt idx="2">
                  <c:v>4935.70888631</c:v>
                </c:pt>
                <c:pt idx="3">
                  <c:v>636.064468269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fuel_supply_costs.tsv!$I$14:$I$17</c:f>
              <c:numCache>
                <c:formatCode>General</c:formatCode>
                <c:ptCount val="4"/>
                <c:pt idx="0">
                  <c:v>12.4538828481</c:v>
                </c:pt>
                <c:pt idx="1">
                  <c:v>7.04864038302</c:v>
                </c:pt>
                <c:pt idx="2">
                  <c:v>16.6481386723</c:v>
                </c:pt>
                <c:pt idx="3">
                  <c:v>6.55563230654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fuel_supply_costs.tsv!$J$14:$J$17</c:f>
              <c:numCache>
                <c:formatCode>General</c:formatCode>
                <c:ptCount val="4"/>
                <c:pt idx="0">
                  <c:v>8.21923416227</c:v>
                </c:pt>
                <c:pt idx="1">
                  <c:v>14.8968184926</c:v>
                </c:pt>
                <c:pt idx="2">
                  <c:v>15.385195899</c:v>
                </c:pt>
                <c:pt idx="3">
                  <c:v>13.2267088417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fuel_supply_costs.tsv!$K$14:$K$17</c:f>
              <c:numCache>
                <c:formatCode>General</c:formatCode>
                <c:ptCount val="4"/>
                <c:pt idx="0">
                  <c:v>6.51994301786</c:v>
                </c:pt>
                <c:pt idx="1">
                  <c:v>9.74937516542</c:v>
                </c:pt>
                <c:pt idx="2">
                  <c:v>8.477291094670001</c:v>
                </c:pt>
                <c:pt idx="3">
                  <c:v>6.55997518702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fuel_supply_costs.tsv!$L$14:$L$17</c:f>
              <c:numCache>
                <c:formatCode>General</c:formatCode>
                <c:ptCount val="4"/>
                <c:pt idx="0">
                  <c:v>12.4423219035</c:v>
                </c:pt>
                <c:pt idx="1">
                  <c:v>20.5324959866</c:v>
                </c:pt>
                <c:pt idx="2">
                  <c:v>7.74997632958</c:v>
                </c:pt>
                <c:pt idx="3">
                  <c:v>6.97621299687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fuel_supply_costs.tsv!$M$14:$M$17</c:f>
              <c:numCache>
                <c:formatCode>General</c:formatCode>
                <c:ptCount val="4"/>
                <c:pt idx="0">
                  <c:v>7.29931142254</c:v>
                </c:pt>
                <c:pt idx="1">
                  <c:v>18.1694463085</c:v>
                </c:pt>
                <c:pt idx="2">
                  <c:v>10.1840758141</c:v>
                </c:pt>
                <c:pt idx="3">
                  <c:v>27.8067542223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fuel_supply_costs.tsv!$N$14:$N$17</c:f>
              <c:numCache>
                <c:formatCode>General</c:formatCode>
                <c:ptCount val="4"/>
                <c:pt idx="0">
                  <c:v>17.6901637778</c:v>
                </c:pt>
                <c:pt idx="1">
                  <c:v>8.72612698583</c:v>
                </c:pt>
                <c:pt idx="2">
                  <c:v>6.37929880947</c:v>
                </c:pt>
                <c:pt idx="3">
                  <c:v>6.13761872804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fuel_supply_costs.tsv!$O$14:$O$17</c:f>
              <c:numCache>
                <c:formatCode>General</c:formatCode>
                <c:ptCount val="4"/>
                <c:pt idx="0">
                  <c:v>7.92971906594</c:v>
                </c:pt>
                <c:pt idx="1">
                  <c:v>6.64684518217</c:v>
                </c:pt>
                <c:pt idx="2">
                  <c:v>6.14436720729</c:v>
                </c:pt>
                <c:pt idx="3">
                  <c:v>6.03521135339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fuel_supply_costs.tsv!$P$14:$P$17</c:f>
              <c:numCache>
                <c:formatCode>General</c:formatCode>
                <c:ptCount val="4"/>
                <c:pt idx="0">
                  <c:v>7.75961772404</c:v>
                </c:pt>
                <c:pt idx="1">
                  <c:v>6.17116139556</c:v>
                </c:pt>
                <c:pt idx="2">
                  <c:v>7.96905946259</c:v>
                </c:pt>
                <c:pt idx="3">
                  <c:v>59.2207982033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fuel_supply_costs.tsv!$Q$14:$Q$17</c:f>
              <c:numCache>
                <c:formatCode>General</c:formatCode>
                <c:ptCount val="4"/>
                <c:pt idx="0">
                  <c:v>9.50529678214</c:v>
                </c:pt>
                <c:pt idx="1">
                  <c:v>6.92118951518</c:v>
                </c:pt>
                <c:pt idx="2">
                  <c:v>6.35051694416</c:v>
                </c:pt>
                <c:pt idx="3">
                  <c:v>6.0213998929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fuel_supply_costs.tsv!$R$14:$R$17</c:f>
              <c:numCache>
                <c:formatCode>General</c:formatCode>
                <c:ptCount val="4"/>
                <c:pt idx="0">
                  <c:v>7.90301812395</c:v>
                </c:pt>
                <c:pt idx="1">
                  <c:v>9.71502767741</c:v>
                </c:pt>
                <c:pt idx="2">
                  <c:v>11.631692072</c:v>
                </c:pt>
                <c:pt idx="3">
                  <c:v>7.07936800175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fuel_supply_costs.tsv!$S$14:$S$17</c:f>
              <c:numCache>
                <c:formatCode>General</c:formatCode>
                <c:ptCount val="4"/>
                <c:pt idx="0">
                  <c:v>12.4154164908</c:v>
                </c:pt>
                <c:pt idx="1">
                  <c:v>12.9269736987</c:v>
                </c:pt>
                <c:pt idx="2">
                  <c:v>9.99297012884</c:v>
                </c:pt>
                <c:pt idx="3">
                  <c:v>16.7006168355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fuel_supply_costs.tsv!$T$14:$T$17</c:f>
              <c:numCache>
                <c:formatCode>General</c:formatCode>
                <c:ptCount val="4"/>
                <c:pt idx="0">
                  <c:v>16.0720506222</c:v>
                </c:pt>
                <c:pt idx="1">
                  <c:v>16.977858417</c:v>
                </c:pt>
                <c:pt idx="2">
                  <c:v>163.085063243</c:v>
                </c:pt>
                <c:pt idx="3">
                  <c:v>334.39718064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fuel_supply_costs.tsv!$U$14:$U$17</c:f>
              <c:numCache>
                <c:formatCode>General</c:formatCode>
                <c:ptCount val="4"/>
                <c:pt idx="0">
                  <c:v>15.0157397905</c:v>
                </c:pt>
                <c:pt idx="1">
                  <c:v>7.52661937561</c:v>
                </c:pt>
                <c:pt idx="2">
                  <c:v>14.5121581039</c:v>
                </c:pt>
                <c:pt idx="3">
                  <c:v>149.678163568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fuel_supply_costs.tsv!$V$14:$V$17</c:f>
              <c:numCache>
                <c:formatCode>General</c:formatCode>
                <c:ptCount val="4"/>
                <c:pt idx="0">
                  <c:v>44.8860611888</c:v>
                </c:pt>
                <c:pt idx="1">
                  <c:v>174.978164116</c:v>
                </c:pt>
                <c:pt idx="2">
                  <c:v>115.035225093</c:v>
                </c:pt>
                <c:pt idx="3">
                  <c:v>335.472496088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fuel_supply_costs.tsv!$W$14:$W$17</c:f>
              <c:numCache>
                <c:formatCode>General</c:formatCode>
                <c:ptCount val="4"/>
                <c:pt idx="0">
                  <c:v>24.2653987218</c:v>
                </c:pt>
                <c:pt idx="1">
                  <c:v>370.575135616</c:v>
                </c:pt>
                <c:pt idx="2">
                  <c:v>128.221927426</c:v>
                </c:pt>
                <c:pt idx="3">
                  <c:v>64.570554501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fuel_supply_costs.tsv!$X$14:$X$17</c:f>
              <c:numCache>
                <c:formatCode>General</c:formatCode>
                <c:ptCount val="4"/>
                <c:pt idx="0">
                  <c:v>8.81038754573</c:v>
                </c:pt>
                <c:pt idx="1">
                  <c:v>7.74281263437</c:v>
                </c:pt>
                <c:pt idx="2">
                  <c:v>6.33763078629</c:v>
                </c:pt>
                <c:pt idx="3">
                  <c:v>10.6572940235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fuel_supply_costs.tsv!$Y$14:$Y$17</c:f>
              <c:numCache>
                <c:formatCode>General</c:formatCode>
                <c:ptCount val="4"/>
                <c:pt idx="0">
                  <c:v>8.03141530351</c:v>
                </c:pt>
                <c:pt idx="1">
                  <c:v>7.67660028941</c:v>
                </c:pt>
                <c:pt idx="2">
                  <c:v>10.9849754785</c:v>
                </c:pt>
                <c:pt idx="3">
                  <c:v>16.7469050461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fuel_supply_costs.tsv!$Z$14:$Z$17</c:f>
              <c:numCache>
                <c:formatCode>General</c:formatCode>
                <c:ptCount val="4"/>
                <c:pt idx="0">
                  <c:v>7.23949687855</c:v>
                </c:pt>
                <c:pt idx="1">
                  <c:v>8.40020538094</c:v>
                </c:pt>
                <c:pt idx="2">
                  <c:v>6.59766373558</c:v>
                </c:pt>
                <c:pt idx="3">
                  <c:v>6.78396563239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fuel_supply_costs.tsv!$AA$14:$AA$17</c:f>
              <c:numCache>
                <c:formatCode>General</c:formatCode>
                <c:ptCount val="4"/>
                <c:pt idx="0">
                  <c:v>33.0239328308</c:v>
                </c:pt>
                <c:pt idx="1">
                  <c:v>146.367293181</c:v>
                </c:pt>
                <c:pt idx="2">
                  <c:v>25.2867698709</c:v>
                </c:pt>
                <c:pt idx="3">
                  <c:v>7.27148925482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fuel_supply_costs.tsv!$AB$14:$AB$17</c:f>
              <c:numCache>
                <c:formatCode>General</c:formatCode>
                <c:ptCount val="4"/>
                <c:pt idx="0">
                  <c:v>37.3483617188</c:v>
                </c:pt>
                <c:pt idx="1">
                  <c:v>59.1397828505</c:v>
                </c:pt>
                <c:pt idx="2">
                  <c:v>697.399102156</c:v>
                </c:pt>
                <c:pt idx="3">
                  <c:v>1790.54621763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fuel_supply_costs.tsv!$AC$14:$AC$17</c:f>
              <c:numCache>
                <c:formatCode>General</c:formatCode>
                <c:ptCount val="4"/>
                <c:pt idx="0">
                  <c:v>6.47915970087</c:v>
                </c:pt>
                <c:pt idx="1">
                  <c:v>6.10250370463</c:v>
                </c:pt>
                <c:pt idx="2">
                  <c:v>6.24130796634</c:v>
                </c:pt>
                <c:pt idx="3">
                  <c:v>6.0300914713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fuel_supply_costs.tsv!$AD$14:$AD$17</c:f>
              <c:numCache>
                <c:formatCode>General</c:formatCode>
                <c:ptCount val="4"/>
                <c:pt idx="0">
                  <c:v>6.49265328509</c:v>
                </c:pt>
                <c:pt idx="1">
                  <c:v>6.09231264496</c:v>
                </c:pt>
                <c:pt idx="2">
                  <c:v>6.27953167009</c:v>
                </c:pt>
                <c:pt idx="3">
                  <c:v>8.036748684180001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fuel_supply_costs.tsv!$AE$14:$AE$17</c:f>
              <c:numCache>
                <c:formatCode>General</c:formatCode>
                <c:ptCount val="4"/>
                <c:pt idx="0">
                  <c:v>6.79984560159</c:v>
                </c:pt>
                <c:pt idx="1">
                  <c:v>6.13549948214</c:v>
                </c:pt>
                <c:pt idx="2">
                  <c:v>6.06053273936</c:v>
                </c:pt>
                <c:pt idx="3">
                  <c:v>6.11135693443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fuel_supply_costs.tsv!$AF$14:$AF$17</c:f>
              <c:numCache>
                <c:formatCode>General</c:formatCode>
                <c:ptCount val="4"/>
                <c:pt idx="0">
                  <c:v>6.65137166009</c:v>
                </c:pt>
                <c:pt idx="1">
                  <c:v>7.1654838627</c:v>
                </c:pt>
                <c:pt idx="2">
                  <c:v>8.32570567317</c:v>
                </c:pt>
                <c:pt idx="3">
                  <c:v>9.25071872356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fuel_supply_costs.tsv!$AG$14:$AG$17</c:f>
              <c:numCache>
                <c:formatCode>General</c:formatCode>
                <c:ptCount val="4"/>
                <c:pt idx="0">
                  <c:v>10.4186664485</c:v>
                </c:pt>
                <c:pt idx="1">
                  <c:v>9.85446990369</c:v>
                </c:pt>
                <c:pt idx="2">
                  <c:v>12.4141279922</c:v>
                </c:pt>
                <c:pt idx="3">
                  <c:v>47.6201770158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fuel_supply_costs.tsv!$AH$14:$AH$17</c:f>
              <c:numCache>
                <c:formatCode>General</c:formatCode>
                <c:ptCount val="4"/>
                <c:pt idx="0">
                  <c:v>15.3606777685</c:v>
                </c:pt>
                <c:pt idx="1">
                  <c:v>156.449802667</c:v>
                </c:pt>
                <c:pt idx="2">
                  <c:v>2320.45654456</c:v>
                </c:pt>
                <c:pt idx="3">
                  <c:v>704.530376923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fuel_supply_costs.tsv!$AI$14:$AI$17</c:f>
              <c:numCache>
                <c:formatCode>General</c:formatCode>
                <c:ptCount val="4"/>
                <c:pt idx="0">
                  <c:v>69.8832406105</c:v>
                </c:pt>
                <c:pt idx="1">
                  <c:v>39.5976010765</c:v>
                </c:pt>
                <c:pt idx="2">
                  <c:v>118.946291987</c:v>
                </c:pt>
                <c:pt idx="3">
                  <c:v>196.229448932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fuel_supply_costs.tsv!$AJ$14:$AJ$17</c:f>
              <c:numCache>
                <c:formatCode>General</c:formatCode>
                <c:ptCount val="4"/>
                <c:pt idx="0">
                  <c:v>7.41487951089</c:v>
                </c:pt>
                <c:pt idx="1">
                  <c:v>9.24916676684</c:v>
                </c:pt>
                <c:pt idx="2">
                  <c:v>7.88365787987</c:v>
                </c:pt>
                <c:pt idx="3">
                  <c:v>6.89983832126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fuel_supply_costs.tsv!$AK$14:$AK$17</c:f>
              <c:numCache>
                <c:formatCode>General</c:formatCode>
                <c:ptCount val="4"/>
                <c:pt idx="0">
                  <c:v>6.60546432642</c:v>
                </c:pt>
                <c:pt idx="1">
                  <c:v>6.3321736759</c:v>
                </c:pt>
                <c:pt idx="2">
                  <c:v>6.93108315444</c:v>
                </c:pt>
                <c:pt idx="3">
                  <c:v>6.22984533991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fuel_supply_costs.tsv!$AL$14:$AL$17</c:f>
              <c:numCache>
                <c:formatCode>General</c:formatCode>
                <c:ptCount val="4"/>
                <c:pt idx="0">
                  <c:v>8.47574421697</c:v>
                </c:pt>
                <c:pt idx="1">
                  <c:v>7.52511618078</c:v>
                </c:pt>
                <c:pt idx="2">
                  <c:v>6.42361769951</c:v>
                </c:pt>
                <c:pt idx="3">
                  <c:v>6.0822079725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fuel_supply_costs.tsv!$AM$14:$AM$17</c:f>
              <c:numCache>
                <c:formatCode>General</c:formatCode>
                <c:ptCount val="4"/>
                <c:pt idx="0">
                  <c:v>6.60904638258</c:v>
                </c:pt>
                <c:pt idx="1">
                  <c:v>6.11316851359</c:v>
                </c:pt>
                <c:pt idx="2">
                  <c:v>6.21427915683</c:v>
                </c:pt>
                <c:pt idx="3">
                  <c:v>6.10983210871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fuel_supply_costs.tsv!$AN$14:$AN$17</c:f>
              <c:numCache>
                <c:formatCode>General</c:formatCode>
                <c:ptCount val="4"/>
                <c:pt idx="0">
                  <c:v>11.931973144</c:v>
                </c:pt>
                <c:pt idx="1">
                  <c:v>51.8931963573</c:v>
                </c:pt>
                <c:pt idx="2">
                  <c:v>55.7712056966</c:v>
                </c:pt>
                <c:pt idx="3">
                  <c:v>308.956942242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fuel_supply_costs.tsv!$AO$14:$AO$17</c:f>
              <c:numCache>
                <c:formatCode>General</c:formatCode>
                <c:ptCount val="4"/>
                <c:pt idx="0">
                  <c:v>8.85836182269</c:v>
                </c:pt>
                <c:pt idx="1">
                  <c:v>25.1726365547</c:v>
                </c:pt>
                <c:pt idx="2">
                  <c:v>731.770914741</c:v>
                </c:pt>
                <c:pt idx="3">
                  <c:v>902.018473695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fuel_supply_costs.tsv!$AP$14:$AP$17</c:f>
              <c:numCache>
                <c:formatCode>General</c:formatCode>
                <c:ptCount val="4"/>
                <c:pt idx="0">
                  <c:v>6.53943790603</c:v>
                </c:pt>
                <c:pt idx="1">
                  <c:v>11.4166306375</c:v>
                </c:pt>
                <c:pt idx="2">
                  <c:v>23.5880789834</c:v>
                </c:pt>
                <c:pt idx="3">
                  <c:v>17.3109054195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fuel_supply_costs.tsv!$AQ$14:$AQ$17</c:f>
              <c:numCache>
                <c:formatCode>General</c:formatCode>
                <c:ptCount val="4"/>
                <c:pt idx="0">
                  <c:v>9.94858442442</c:v>
                </c:pt>
                <c:pt idx="1">
                  <c:v>6.96900790242</c:v>
                </c:pt>
                <c:pt idx="2">
                  <c:v>6.32034119181</c:v>
                </c:pt>
                <c:pt idx="3">
                  <c:v>6.43794471526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fuel_supply_costs.tsv!$AR$14:$AR$17</c:f>
              <c:numCache>
                <c:formatCode>General</c:formatCode>
                <c:ptCount val="4"/>
                <c:pt idx="0">
                  <c:v>6.49214349379</c:v>
                </c:pt>
                <c:pt idx="1">
                  <c:v>10.619662415</c:v>
                </c:pt>
                <c:pt idx="2">
                  <c:v>7.27633727532</c:v>
                </c:pt>
                <c:pt idx="3">
                  <c:v>8.01160731251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fuel_supply_costs.tsv!$AS$14:$AS$17</c:f>
              <c:numCache>
                <c:formatCode>General</c:formatCode>
                <c:ptCount val="4"/>
                <c:pt idx="0">
                  <c:v>6.56981438429</c:v>
                </c:pt>
                <c:pt idx="1">
                  <c:v>8.76670651163</c:v>
                </c:pt>
                <c:pt idx="2">
                  <c:v>9.70653043313</c:v>
                </c:pt>
                <c:pt idx="3">
                  <c:v>8.54647644107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fuel_supply_costs.tsv!$AT$14:$AT$17</c:f>
              <c:numCache>
                <c:formatCode>General</c:formatCode>
                <c:ptCount val="4"/>
                <c:pt idx="0">
                  <c:v>6.32198604159</c:v>
                </c:pt>
                <c:pt idx="1">
                  <c:v>6.31578039165</c:v>
                </c:pt>
                <c:pt idx="2">
                  <c:v>6.95898533037</c:v>
                </c:pt>
                <c:pt idx="3">
                  <c:v>6.27096455933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fuel_supply_costs.tsv!$AU$14:$AU$17</c:f>
              <c:numCache>
                <c:formatCode>General</c:formatCode>
                <c:ptCount val="4"/>
                <c:pt idx="0">
                  <c:v>14.5152998127</c:v>
                </c:pt>
                <c:pt idx="1">
                  <c:v>223.928426122</c:v>
                </c:pt>
                <c:pt idx="2">
                  <c:v>154.324124154</c:v>
                </c:pt>
                <c:pt idx="3">
                  <c:v>101.855145353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fuel_supply_costs.tsv!$AV$14:$AV$17</c:f>
              <c:numCache>
                <c:formatCode>General</c:formatCode>
                <c:ptCount val="4"/>
                <c:pt idx="0">
                  <c:v>6.35319729667</c:v>
                </c:pt>
                <c:pt idx="1">
                  <c:v>6.27430190052</c:v>
                </c:pt>
                <c:pt idx="2">
                  <c:v>6.25914695085</c:v>
                </c:pt>
                <c:pt idx="3">
                  <c:v>6.23238547996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fuel_supply_costs.tsv!$AW$14:$AW$17</c:f>
              <c:numCache>
                <c:formatCode>General</c:formatCode>
                <c:ptCount val="4"/>
                <c:pt idx="0">
                  <c:v>68.5893107813</c:v>
                </c:pt>
                <c:pt idx="1">
                  <c:v>193.371844196</c:v>
                </c:pt>
                <c:pt idx="2">
                  <c:v>76.9953442077</c:v>
                </c:pt>
                <c:pt idx="3">
                  <c:v>61.6963803275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fuel_supply_costs.tsv!$AX$14:$AX$17</c:f>
              <c:numCache>
                <c:formatCode>General</c:formatCode>
                <c:ptCount val="4"/>
                <c:pt idx="0">
                  <c:v>6.59407225687</c:v>
                </c:pt>
                <c:pt idx="1">
                  <c:v>7.86901839869</c:v>
                </c:pt>
                <c:pt idx="2">
                  <c:v>6.06102391905</c:v>
                </c:pt>
                <c:pt idx="3">
                  <c:v>6.04800010463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fuel_supply_costs.tsv!$AY$14:$AY$17</c:f>
              <c:numCache>
                <c:formatCode>General</c:formatCode>
                <c:ptCount val="4"/>
                <c:pt idx="0">
                  <c:v>6.77688386759</c:v>
                </c:pt>
                <c:pt idx="1">
                  <c:v>6.6912766949</c:v>
                </c:pt>
                <c:pt idx="2">
                  <c:v>6.14978939473</c:v>
                </c:pt>
                <c:pt idx="3">
                  <c:v>6.00124351093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fuel_supply_costs.tsv!$AZ$14:$AZ$17</c:f>
              <c:numCache>
                <c:formatCode>General</c:formatCode>
                <c:ptCount val="4"/>
                <c:pt idx="0">
                  <c:v>16.1777610925</c:v>
                </c:pt>
                <c:pt idx="1">
                  <c:v>9.43501876924</c:v>
                </c:pt>
                <c:pt idx="2">
                  <c:v>6.3814374082</c:v>
                </c:pt>
                <c:pt idx="3">
                  <c:v>6.2720742915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fuel_supply_costs.tsv!$BA$14:$BA$17</c:f>
              <c:numCache>
                <c:formatCode>General</c:formatCode>
                <c:ptCount val="4"/>
                <c:pt idx="0">
                  <c:v>24.4838775866</c:v>
                </c:pt>
                <c:pt idx="1">
                  <c:v>106.188096141</c:v>
                </c:pt>
                <c:pt idx="2">
                  <c:v>170.720618771</c:v>
                </c:pt>
                <c:pt idx="3">
                  <c:v>376.919086439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fuel_supply_costs.tsv!$BB$14:$BB$17</c:f>
              <c:numCache>
                <c:formatCode>General</c:formatCode>
                <c:ptCount val="4"/>
                <c:pt idx="0">
                  <c:v>9.867827381130001</c:v>
                </c:pt>
                <c:pt idx="1">
                  <c:v>11.6946606523</c:v>
                </c:pt>
                <c:pt idx="2">
                  <c:v>6.85262322109</c:v>
                </c:pt>
                <c:pt idx="3">
                  <c:v>39.5847512664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fuel_supply_costs.tsv!$BC$14:$BC$17</c:f>
              <c:numCache>
                <c:formatCode>General</c:formatCode>
                <c:ptCount val="4"/>
                <c:pt idx="0">
                  <c:v>13.242631208</c:v>
                </c:pt>
                <c:pt idx="1">
                  <c:v>16.9022241571</c:v>
                </c:pt>
                <c:pt idx="2">
                  <c:v>6.82338543524</c:v>
                </c:pt>
                <c:pt idx="3">
                  <c:v>6.29600379538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fuel_supply_costs.tsv!$BD$14:$BD$17</c:f>
              <c:numCache>
                <c:formatCode>General</c:formatCode>
                <c:ptCount val="4"/>
                <c:pt idx="0">
                  <c:v>12.8926027536</c:v>
                </c:pt>
                <c:pt idx="1">
                  <c:v>40.1550124925</c:v>
                </c:pt>
                <c:pt idx="2">
                  <c:v>14.841672594</c:v>
                </c:pt>
                <c:pt idx="3">
                  <c:v>9.87052275291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fuel_supply_costs.tsv!$BE$14:$BE$17</c:f>
              <c:numCache>
                <c:formatCode>General</c:formatCode>
                <c:ptCount val="4"/>
                <c:pt idx="0">
                  <c:v>6.85215870324</c:v>
                </c:pt>
                <c:pt idx="1">
                  <c:v>12.9079353326</c:v>
                </c:pt>
                <c:pt idx="2">
                  <c:v>10.3652724459</c:v>
                </c:pt>
                <c:pt idx="3">
                  <c:v>9.65026898813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fuel_supply_costs.tsv!$BF$14:$BF$17</c:f>
              <c:numCache>
                <c:formatCode>General</c:formatCode>
                <c:ptCount val="4"/>
                <c:pt idx="0">
                  <c:v>6.16231690896</c:v>
                </c:pt>
                <c:pt idx="1">
                  <c:v>6.0861658954</c:v>
                </c:pt>
                <c:pt idx="2">
                  <c:v>6.06361917215</c:v>
                </c:pt>
                <c:pt idx="3">
                  <c:v>6.19399758797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fuel_supply_costs.tsv!$BG$14:$BG$17</c:f>
              <c:numCache>
                <c:formatCode>General</c:formatCode>
                <c:ptCount val="4"/>
                <c:pt idx="0">
                  <c:v>7.16147501519</c:v>
                </c:pt>
                <c:pt idx="1">
                  <c:v>6.07181573168</c:v>
                </c:pt>
                <c:pt idx="2">
                  <c:v>6.20083920802</c:v>
                </c:pt>
                <c:pt idx="3">
                  <c:v>6.08630474699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fuel_supply_costs.tsv!$BH$14:$BH$17</c:f>
              <c:numCache>
                <c:formatCode>General</c:formatCode>
                <c:ptCount val="4"/>
                <c:pt idx="0">
                  <c:v>14.4854762405</c:v>
                </c:pt>
                <c:pt idx="1">
                  <c:v>10.1253393117</c:v>
                </c:pt>
                <c:pt idx="2">
                  <c:v>6.03053480333</c:v>
                </c:pt>
                <c:pt idx="3">
                  <c:v>6.18876833706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fuel_supply_costs.tsv!$BI$14:$BI$17</c:f>
              <c:numCache>
                <c:formatCode>General</c:formatCode>
                <c:ptCount val="4"/>
                <c:pt idx="0">
                  <c:v>19.8605913879</c:v>
                </c:pt>
                <c:pt idx="1">
                  <c:v>113.418563993</c:v>
                </c:pt>
                <c:pt idx="2">
                  <c:v>33.7519400858</c:v>
                </c:pt>
                <c:pt idx="3">
                  <c:v>24.8381737726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fuel_supply_costs.tsv!$BJ$14:$BJ$17</c:f>
              <c:numCache>
                <c:formatCode>General</c:formatCode>
                <c:ptCount val="4"/>
                <c:pt idx="0">
                  <c:v>9.82259629661</c:v>
                </c:pt>
                <c:pt idx="1">
                  <c:v>6.53849432974</c:v>
                </c:pt>
                <c:pt idx="2">
                  <c:v>6.369042657</c:v>
                </c:pt>
                <c:pt idx="3">
                  <c:v>6.43088846924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fuel_supply_costs.tsv!$BK$14:$BK$17</c:f>
              <c:numCache>
                <c:formatCode>General</c:formatCode>
                <c:ptCount val="4"/>
                <c:pt idx="0">
                  <c:v>6.8174174048</c:v>
                </c:pt>
                <c:pt idx="1">
                  <c:v>7.28047268073</c:v>
                </c:pt>
                <c:pt idx="2">
                  <c:v>7.01588390366</c:v>
                </c:pt>
                <c:pt idx="3">
                  <c:v>6.41347768752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fuel_supply_costs.tsv!$BL$14:$BL$17</c:f>
              <c:numCache>
                <c:formatCode>General</c:formatCode>
                <c:ptCount val="4"/>
                <c:pt idx="0">
                  <c:v>15.0623225825</c:v>
                </c:pt>
                <c:pt idx="1">
                  <c:v>18.0362156665</c:v>
                </c:pt>
                <c:pt idx="2">
                  <c:v>21.4579040623</c:v>
                </c:pt>
                <c:pt idx="3">
                  <c:v>7.63435160937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fuel_supply_costs.tsv!$BM$14:$BM$17</c:f>
              <c:numCache>
                <c:formatCode>General</c:formatCode>
                <c:ptCount val="4"/>
                <c:pt idx="0">
                  <c:v>6.74418924942</c:v>
                </c:pt>
                <c:pt idx="1">
                  <c:v>6.46644624073</c:v>
                </c:pt>
                <c:pt idx="2">
                  <c:v>6.06862547474</c:v>
                </c:pt>
                <c:pt idx="3">
                  <c:v>6.01406778885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fuel_supply_costs.tsv!$BN$14:$BN$17</c:f>
              <c:numCache>
                <c:formatCode>General</c:formatCode>
                <c:ptCount val="4"/>
                <c:pt idx="0">
                  <c:v>12.1235329863</c:v>
                </c:pt>
                <c:pt idx="1">
                  <c:v>21.5380681343</c:v>
                </c:pt>
                <c:pt idx="2">
                  <c:v>13.7866487985</c:v>
                </c:pt>
                <c:pt idx="3">
                  <c:v>12.5351708609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fuel_supply_costs.tsv!$BO$14:$BO$17</c:f>
              <c:numCache>
                <c:formatCode>General</c:formatCode>
                <c:ptCount val="4"/>
                <c:pt idx="0">
                  <c:v>17.9413868664</c:v>
                </c:pt>
                <c:pt idx="1">
                  <c:v>15.8677453643</c:v>
                </c:pt>
                <c:pt idx="2">
                  <c:v>20.8089488057</c:v>
                </c:pt>
                <c:pt idx="3">
                  <c:v>192.974118126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fuel_supply_costs.tsv!$BP$14:$BP$17</c:f>
              <c:numCache>
                <c:formatCode>General</c:formatCode>
                <c:ptCount val="4"/>
                <c:pt idx="0">
                  <c:v>6.26299904375</c:v>
                </c:pt>
                <c:pt idx="1">
                  <c:v>9.19613561978</c:v>
                </c:pt>
                <c:pt idx="2">
                  <c:v>7.85950775995</c:v>
                </c:pt>
                <c:pt idx="3">
                  <c:v>8.08764106272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fuel_supply_costs.tsv!$BQ$14:$BQ$17</c:f>
              <c:numCache>
                <c:formatCode>General</c:formatCode>
                <c:ptCount val="4"/>
                <c:pt idx="0">
                  <c:v>7.44392375154</c:v>
                </c:pt>
                <c:pt idx="1">
                  <c:v>6.0022482331</c:v>
                </c:pt>
                <c:pt idx="2">
                  <c:v>6.00055169188</c:v>
                </c:pt>
                <c:pt idx="3">
                  <c:v>6.00525621192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fuel_supply_costs.tsv!$BR$14:$BR$17</c:f>
              <c:numCache>
                <c:formatCode>General</c:formatCode>
                <c:ptCount val="4"/>
                <c:pt idx="0">
                  <c:v>14.5821844705</c:v>
                </c:pt>
                <c:pt idx="1">
                  <c:v>8.38430745574</c:v>
                </c:pt>
                <c:pt idx="2">
                  <c:v>7.06257588188</c:v>
                </c:pt>
                <c:pt idx="3">
                  <c:v>12.3277643982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fuel_supply_costs.tsv!$BS$14:$BS$17</c:f>
              <c:numCache>
                <c:formatCode>General</c:formatCode>
                <c:ptCount val="4"/>
                <c:pt idx="0">
                  <c:v>7.72567707376</c:v>
                </c:pt>
                <c:pt idx="1">
                  <c:v>6.12825697342</c:v>
                </c:pt>
                <c:pt idx="2">
                  <c:v>6.55568442337</c:v>
                </c:pt>
                <c:pt idx="3">
                  <c:v>7.17567550186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fuel_supply_costs.tsv!$BT$14:$BT$17</c:f>
              <c:numCache>
                <c:formatCode>General</c:formatCode>
                <c:ptCount val="4"/>
                <c:pt idx="0">
                  <c:v>7.19614310293</c:v>
                </c:pt>
                <c:pt idx="1">
                  <c:v>10.2431599336</c:v>
                </c:pt>
                <c:pt idx="2">
                  <c:v>6.64578208974</c:v>
                </c:pt>
                <c:pt idx="3">
                  <c:v>6.34177018312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fuel_supply_costs.tsv!$BU$14:$BU$17</c:f>
              <c:numCache>
                <c:formatCode>General</c:formatCode>
                <c:ptCount val="4"/>
                <c:pt idx="0">
                  <c:v>11.150785613</c:v>
                </c:pt>
                <c:pt idx="1">
                  <c:v>7.34098654992</c:v>
                </c:pt>
                <c:pt idx="2">
                  <c:v>6.10886381914</c:v>
                </c:pt>
                <c:pt idx="3">
                  <c:v>6.35582979069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fuel_supply_costs.tsv!$BV$14:$BV$17</c:f>
              <c:numCache>
                <c:formatCode>General</c:formatCode>
                <c:ptCount val="4"/>
                <c:pt idx="0">
                  <c:v>10.6262622874</c:v>
                </c:pt>
                <c:pt idx="1">
                  <c:v>15.7054091337</c:v>
                </c:pt>
                <c:pt idx="2">
                  <c:v>7.31244607079</c:v>
                </c:pt>
                <c:pt idx="3">
                  <c:v>6.75521055534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fuel_supply_costs.tsv!$BW$14:$BW$17</c:f>
              <c:numCache>
                <c:formatCode>General</c:formatCode>
                <c:ptCount val="4"/>
                <c:pt idx="0">
                  <c:v>19.4971297147</c:v>
                </c:pt>
                <c:pt idx="1">
                  <c:v>13.9133437143</c:v>
                </c:pt>
                <c:pt idx="2">
                  <c:v>203.300472283</c:v>
                </c:pt>
                <c:pt idx="3">
                  <c:v>92.23096675639999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fuel_supply_costs.tsv!$BX$14:$BX$17</c:f>
              <c:numCache>
                <c:formatCode>General</c:formatCode>
                <c:ptCount val="4"/>
                <c:pt idx="0">
                  <c:v>16.81555698</c:v>
                </c:pt>
                <c:pt idx="1">
                  <c:v>8.7372352771</c:v>
                </c:pt>
                <c:pt idx="2">
                  <c:v>8.638568987819999</c:v>
                </c:pt>
                <c:pt idx="3">
                  <c:v>34.7036360328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fuel_supply_costs.tsv!$BY$14:$BY$17</c:f>
              <c:numCache>
                <c:formatCode>General</c:formatCode>
                <c:ptCount val="4"/>
                <c:pt idx="0">
                  <c:v>13.9301786557</c:v>
                </c:pt>
                <c:pt idx="1">
                  <c:v>58.4935652861</c:v>
                </c:pt>
                <c:pt idx="2">
                  <c:v>153.05513511</c:v>
                </c:pt>
                <c:pt idx="3">
                  <c:v>14.6228657916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fuel_supply_costs.tsv!$BZ$14:$BZ$17</c:f>
              <c:numCache>
                <c:formatCode>General</c:formatCode>
                <c:ptCount val="4"/>
                <c:pt idx="0">
                  <c:v>21.9896689977</c:v>
                </c:pt>
                <c:pt idx="1">
                  <c:v>8.78357195179</c:v>
                </c:pt>
                <c:pt idx="2">
                  <c:v>15.8735547789</c:v>
                </c:pt>
                <c:pt idx="3">
                  <c:v>8.45051034225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fuel_supply_costs.tsv!$CA$14:$CA$17</c:f>
              <c:numCache>
                <c:formatCode>General</c:formatCode>
                <c:ptCount val="4"/>
                <c:pt idx="0">
                  <c:v>10.4628578718</c:v>
                </c:pt>
                <c:pt idx="1">
                  <c:v>7.30477908534</c:v>
                </c:pt>
                <c:pt idx="2">
                  <c:v>6.41771614783</c:v>
                </c:pt>
                <c:pt idx="3">
                  <c:v>6.58374057531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fuel_supply_costs.tsv!$CB$14:$CB$17</c:f>
              <c:numCache>
                <c:formatCode>General</c:formatCode>
                <c:ptCount val="4"/>
                <c:pt idx="0">
                  <c:v>6.85066036402</c:v>
                </c:pt>
                <c:pt idx="1">
                  <c:v>6.2922980985</c:v>
                </c:pt>
                <c:pt idx="2">
                  <c:v>6.21163027936</c:v>
                </c:pt>
                <c:pt idx="3">
                  <c:v>6.28047852131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fuel_supply_costs.tsv!$CC$14:$CC$17</c:f>
              <c:numCache>
                <c:formatCode>General</c:formatCode>
                <c:ptCount val="4"/>
                <c:pt idx="0">
                  <c:v>19.1236699597</c:v>
                </c:pt>
                <c:pt idx="1">
                  <c:v>10.4538772286</c:v>
                </c:pt>
                <c:pt idx="2">
                  <c:v>19.5740527261</c:v>
                </c:pt>
                <c:pt idx="3">
                  <c:v>62.5914041207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fuel_supply_costs.tsv!$CD$14:$CD$17</c:f>
              <c:numCache>
                <c:formatCode>General</c:formatCode>
                <c:ptCount val="4"/>
                <c:pt idx="0">
                  <c:v>8.02864356752</c:v>
                </c:pt>
                <c:pt idx="1">
                  <c:v>7.14644580177</c:v>
                </c:pt>
                <c:pt idx="2">
                  <c:v>8.7691300267</c:v>
                </c:pt>
                <c:pt idx="3">
                  <c:v>43.0410276187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fuel_supply_costs.tsv!$CE$14:$CE$17</c:f>
              <c:numCache>
                <c:formatCode>General</c:formatCode>
                <c:ptCount val="4"/>
                <c:pt idx="0">
                  <c:v>23.5651213779</c:v>
                </c:pt>
                <c:pt idx="1">
                  <c:v>370.117977118</c:v>
                </c:pt>
                <c:pt idx="2">
                  <c:v>502.25907228</c:v>
                </c:pt>
                <c:pt idx="3">
                  <c:v>1307.23265704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fuel_supply_costs.tsv!$CF$14:$CF$17</c:f>
              <c:numCache>
                <c:formatCode>General</c:formatCode>
                <c:ptCount val="4"/>
                <c:pt idx="0">
                  <c:v>14.074404816</c:v>
                </c:pt>
                <c:pt idx="1">
                  <c:v>8.65730865992</c:v>
                </c:pt>
                <c:pt idx="2">
                  <c:v>6.52451956177</c:v>
                </c:pt>
                <c:pt idx="3">
                  <c:v>7.51919100334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fuel_supply_costs.tsv!$CG$14:$CG$17</c:f>
              <c:numCache>
                <c:formatCode>General</c:formatCode>
                <c:ptCount val="4"/>
                <c:pt idx="0">
                  <c:v>15.1124991998</c:v>
                </c:pt>
                <c:pt idx="1">
                  <c:v>20.1410907668</c:v>
                </c:pt>
                <c:pt idx="2">
                  <c:v>122.014768096</c:v>
                </c:pt>
                <c:pt idx="3">
                  <c:v>47.5510771533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fuel_supply_costs.tsv!$CH$14:$CH$17</c:f>
              <c:numCache>
                <c:formatCode>General</c:formatCode>
                <c:ptCount val="4"/>
                <c:pt idx="0">
                  <c:v>11.7223949592</c:v>
                </c:pt>
                <c:pt idx="1">
                  <c:v>7.42774144074</c:v>
                </c:pt>
                <c:pt idx="2">
                  <c:v>15.973383854</c:v>
                </c:pt>
                <c:pt idx="3">
                  <c:v>13.6216953995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fuel_supply_costs.tsv!$CI$14:$CI$17</c:f>
              <c:numCache>
                <c:formatCode>General</c:formatCode>
                <c:ptCount val="4"/>
                <c:pt idx="0">
                  <c:v>10.9827565666</c:v>
                </c:pt>
                <c:pt idx="1">
                  <c:v>8.25039334742</c:v>
                </c:pt>
                <c:pt idx="2">
                  <c:v>7.56582456095</c:v>
                </c:pt>
                <c:pt idx="3">
                  <c:v>7.57296594642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fuel_supply_costs.tsv!$CJ$14:$CJ$17</c:f>
              <c:numCache>
                <c:formatCode>General</c:formatCode>
                <c:ptCount val="4"/>
                <c:pt idx="0">
                  <c:v>20.7761890841</c:v>
                </c:pt>
                <c:pt idx="1">
                  <c:v>6.85030140059</c:v>
                </c:pt>
                <c:pt idx="2">
                  <c:v>9.50066013844</c:v>
                </c:pt>
                <c:pt idx="3">
                  <c:v>6.15412160293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fuel_supply_costs.tsv!$CK$14:$CK$17</c:f>
              <c:numCache>
                <c:formatCode>General</c:formatCode>
                <c:ptCount val="4"/>
                <c:pt idx="0">
                  <c:v>16.7765349223</c:v>
                </c:pt>
                <c:pt idx="1">
                  <c:v>10.3225713655</c:v>
                </c:pt>
                <c:pt idx="2">
                  <c:v>83.1156536358</c:v>
                </c:pt>
                <c:pt idx="3">
                  <c:v>287.961781797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fuel_supply_costs.tsv!$CL$14:$CL$17</c:f>
              <c:numCache>
                <c:formatCode>General</c:formatCode>
                <c:ptCount val="4"/>
                <c:pt idx="0">
                  <c:v>6.76314543996</c:v>
                </c:pt>
                <c:pt idx="1">
                  <c:v>10.2754017138</c:v>
                </c:pt>
                <c:pt idx="2">
                  <c:v>13.465483647</c:v>
                </c:pt>
                <c:pt idx="3">
                  <c:v>17.6870586993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fuel_supply_costs.tsv!$CM$14:$CM$17</c:f>
              <c:numCache>
                <c:formatCode>General</c:formatCode>
                <c:ptCount val="4"/>
                <c:pt idx="0">
                  <c:v>10.8259750799</c:v>
                </c:pt>
                <c:pt idx="1">
                  <c:v>7.20986990816</c:v>
                </c:pt>
                <c:pt idx="2">
                  <c:v>6.20888961338</c:v>
                </c:pt>
                <c:pt idx="3">
                  <c:v>6.62316735011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fuel_supply_costs.tsv!$CN$14:$CN$17</c:f>
              <c:numCache>
                <c:formatCode>General</c:formatCode>
                <c:ptCount val="4"/>
                <c:pt idx="0">
                  <c:v>18.4896898436</c:v>
                </c:pt>
                <c:pt idx="1">
                  <c:v>12.131825236</c:v>
                </c:pt>
                <c:pt idx="2">
                  <c:v>6.4324958717</c:v>
                </c:pt>
                <c:pt idx="3">
                  <c:v>6.07737436721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fuel_supply_costs.tsv!$CO$14:$CO$17</c:f>
              <c:numCache>
                <c:formatCode>General</c:formatCode>
                <c:ptCount val="4"/>
                <c:pt idx="0">
                  <c:v>9.08496603962</c:v>
                </c:pt>
                <c:pt idx="1">
                  <c:v>17.5636813231</c:v>
                </c:pt>
                <c:pt idx="2">
                  <c:v>17.1901316852</c:v>
                </c:pt>
                <c:pt idx="3">
                  <c:v>26.3115542955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fuel_supply_costs.tsv!$CP$14:$CP$17</c:f>
              <c:numCache>
                <c:formatCode>General</c:formatCode>
                <c:ptCount val="4"/>
                <c:pt idx="0">
                  <c:v>7.38974965637</c:v>
                </c:pt>
                <c:pt idx="1">
                  <c:v>14.623654912</c:v>
                </c:pt>
                <c:pt idx="2">
                  <c:v>18.683981251</c:v>
                </c:pt>
                <c:pt idx="3">
                  <c:v>11.437116726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fuel_supply_costs.tsv!$CQ$14:$CQ$17</c:f>
              <c:numCache>
                <c:formatCode>General</c:formatCode>
                <c:ptCount val="4"/>
                <c:pt idx="0">
                  <c:v>6.72186537596</c:v>
                </c:pt>
                <c:pt idx="1">
                  <c:v>10.1334366326</c:v>
                </c:pt>
                <c:pt idx="2">
                  <c:v>12.8523729679</c:v>
                </c:pt>
                <c:pt idx="3">
                  <c:v>7.21264107211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fuel_supply_costs.tsv!$CR$14:$CR$17</c:f>
              <c:numCache>
                <c:formatCode>General</c:formatCode>
                <c:ptCount val="4"/>
                <c:pt idx="0">
                  <c:v>9.51669022421</c:v>
                </c:pt>
                <c:pt idx="1">
                  <c:v>19.7938261177</c:v>
                </c:pt>
                <c:pt idx="2">
                  <c:v>80.6977295851</c:v>
                </c:pt>
                <c:pt idx="3">
                  <c:v>35.1320855316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fuel_supply_costs.tsv!$CS$14:$CS$17</c:f>
              <c:numCache>
                <c:formatCode>General</c:formatCode>
                <c:ptCount val="4"/>
                <c:pt idx="0">
                  <c:v>6.67756850828</c:v>
                </c:pt>
                <c:pt idx="1">
                  <c:v>6.14647477413</c:v>
                </c:pt>
                <c:pt idx="2">
                  <c:v>8.05533846667</c:v>
                </c:pt>
                <c:pt idx="3">
                  <c:v>6.87524984066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fuel_supply_costs.tsv!$CT$14:$CT$17</c:f>
              <c:numCache>
                <c:formatCode>General</c:formatCode>
                <c:ptCount val="4"/>
                <c:pt idx="0">
                  <c:v>15.7089016372</c:v>
                </c:pt>
                <c:pt idx="1">
                  <c:v>11.1184864919</c:v>
                </c:pt>
                <c:pt idx="2">
                  <c:v>6.52815359449</c:v>
                </c:pt>
                <c:pt idx="3">
                  <c:v>6.17922317134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fuel_supply_costs.tsv!$CU$14:$CU$17</c:f>
              <c:numCache>
                <c:formatCode>General</c:formatCode>
                <c:ptCount val="4"/>
                <c:pt idx="0">
                  <c:v>9.428273213740001</c:v>
                </c:pt>
                <c:pt idx="1">
                  <c:v>6.30008069887</c:v>
                </c:pt>
                <c:pt idx="2">
                  <c:v>6.37368351166</c:v>
                </c:pt>
                <c:pt idx="3">
                  <c:v>6.02860146781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fuel_supply_costs.tsv!$CV$14:$CV$17</c:f>
              <c:numCache>
                <c:formatCode>General</c:formatCode>
                <c:ptCount val="4"/>
                <c:pt idx="0">
                  <c:v>12.3119692168</c:v>
                </c:pt>
                <c:pt idx="1">
                  <c:v>31.6631377571</c:v>
                </c:pt>
                <c:pt idx="2">
                  <c:v>10.0039365835</c:v>
                </c:pt>
                <c:pt idx="3">
                  <c:v>10.327062565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fuel_supply_costs.tsv!$CW$14:$CW$17</c:f>
              <c:numCache>
                <c:formatCode>General</c:formatCode>
                <c:ptCount val="4"/>
                <c:pt idx="0">
                  <c:v>8.19419920223</c:v>
                </c:pt>
                <c:pt idx="1">
                  <c:v>7.92967348859</c:v>
                </c:pt>
                <c:pt idx="2">
                  <c:v>6.73313531684</c:v>
                </c:pt>
                <c:pt idx="3">
                  <c:v>6.22578017379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fuel_supply_costs.tsv!$CX$14:$CX$17</c:f>
              <c:numCache>
                <c:formatCode>General</c:formatCode>
                <c:ptCount val="4"/>
                <c:pt idx="0">
                  <c:v>10.5848650164</c:v>
                </c:pt>
                <c:pt idx="1">
                  <c:v>25.4419344533</c:v>
                </c:pt>
                <c:pt idx="2">
                  <c:v>6.54080398365</c:v>
                </c:pt>
                <c:pt idx="3">
                  <c:v>6.18180501369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fuel_supply_costs.tsv!$CY$14:$CY$17</c:f>
              <c:numCache>
                <c:formatCode>General</c:formatCode>
                <c:ptCount val="4"/>
                <c:pt idx="0">
                  <c:v>7.23864207884</c:v>
                </c:pt>
                <c:pt idx="1">
                  <c:v>18.7984373815</c:v>
                </c:pt>
                <c:pt idx="2">
                  <c:v>77.50687990439999</c:v>
                </c:pt>
                <c:pt idx="3">
                  <c:v>348.915752864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fuel_supply_costs.tsv!$CZ$14:$CZ$17</c:f>
              <c:numCache>
                <c:formatCode>General</c:formatCode>
                <c:ptCount val="4"/>
                <c:pt idx="0">
                  <c:v>15.1054942572</c:v>
                </c:pt>
                <c:pt idx="1">
                  <c:v>12.0090020427</c:v>
                </c:pt>
                <c:pt idx="2">
                  <c:v>21.8139270205</c:v>
                </c:pt>
                <c:pt idx="3">
                  <c:v>35.3297303258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fuel_supply_costs.tsv!$DA$14:$DA$17</c:f>
              <c:numCache>
                <c:formatCode>General</c:formatCode>
                <c:ptCount val="4"/>
                <c:pt idx="0">
                  <c:v>40.4223610491</c:v>
                </c:pt>
                <c:pt idx="1">
                  <c:v>36.0935189832</c:v>
                </c:pt>
                <c:pt idx="2">
                  <c:v>78.8676259594</c:v>
                </c:pt>
                <c:pt idx="3">
                  <c:v>416.579076727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fuel_supply_costs.tsv!$DB$14:$DB$17</c:f>
              <c:numCache>
                <c:formatCode>General</c:formatCode>
                <c:ptCount val="4"/>
                <c:pt idx="0">
                  <c:v>10.7962059535</c:v>
                </c:pt>
                <c:pt idx="1">
                  <c:v>8.03215920907</c:v>
                </c:pt>
                <c:pt idx="2">
                  <c:v>7.32710429417</c:v>
                </c:pt>
                <c:pt idx="3">
                  <c:v>11.9705473976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fuel_supply_costs.tsv!$DC$14:$DC$17</c:f>
              <c:numCache>
                <c:formatCode>General</c:formatCode>
                <c:ptCount val="4"/>
                <c:pt idx="0">
                  <c:v>7.84739069974</c:v>
                </c:pt>
                <c:pt idx="1">
                  <c:v>14.8049302917</c:v>
                </c:pt>
                <c:pt idx="2">
                  <c:v>8.21514844759</c:v>
                </c:pt>
                <c:pt idx="3">
                  <c:v>8.30094148834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fuel_supply_costs.tsv!$DD$14:$DD$17</c:f>
              <c:numCache>
                <c:formatCode>General</c:formatCode>
                <c:ptCount val="4"/>
                <c:pt idx="0">
                  <c:v>8.10156869209</c:v>
                </c:pt>
                <c:pt idx="1">
                  <c:v>8.55683877802</c:v>
                </c:pt>
                <c:pt idx="2">
                  <c:v>6.85432493761</c:v>
                </c:pt>
                <c:pt idx="3">
                  <c:v>6.03206541561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fuel_supply_costs.tsv!$DE$14:$DE$17</c:f>
              <c:numCache>
                <c:formatCode>General</c:formatCode>
                <c:ptCount val="4"/>
                <c:pt idx="0">
                  <c:v>6.94975808469</c:v>
                </c:pt>
                <c:pt idx="1">
                  <c:v>6.03575349361</c:v>
                </c:pt>
                <c:pt idx="2">
                  <c:v>6.01885917059</c:v>
                </c:pt>
                <c:pt idx="3">
                  <c:v>6.0127302168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fuel_supply_costs.tsv!$DF$14:$DF$17</c:f>
              <c:numCache>
                <c:formatCode>General</c:formatCode>
                <c:ptCount val="4"/>
                <c:pt idx="0">
                  <c:v>6.72891081065</c:v>
                </c:pt>
                <c:pt idx="1">
                  <c:v>7.66338221731</c:v>
                </c:pt>
                <c:pt idx="2">
                  <c:v>7.48459525104</c:v>
                </c:pt>
                <c:pt idx="3">
                  <c:v>6.81563995733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fuel_supply_costs.tsv!$DG$14:$DG$17</c:f>
              <c:numCache>
                <c:formatCode>General</c:formatCode>
                <c:ptCount val="4"/>
                <c:pt idx="0">
                  <c:v>6.4197429453</c:v>
                </c:pt>
                <c:pt idx="1">
                  <c:v>6.01367737378</c:v>
                </c:pt>
                <c:pt idx="2">
                  <c:v>6.01412332905</c:v>
                </c:pt>
                <c:pt idx="3">
                  <c:v>6.0044646672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fuel_supply_costs.tsv!$DH$14:$DH$17</c:f>
              <c:numCache>
                <c:formatCode>General</c:formatCode>
                <c:ptCount val="4"/>
                <c:pt idx="0">
                  <c:v>11.4889202004</c:v>
                </c:pt>
                <c:pt idx="1">
                  <c:v>8.88354274846</c:v>
                </c:pt>
                <c:pt idx="2">
                  <c:v>41.9246025501</c:v>
                </c:pt>
                <c:pt idx="3">
                  <c:v>116.046346822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fuel_supply_costs.tsv!$DI$14:$DI$17</c:f>
              <c:numCache>
                <c:formatCode>General</c:formatCode>
                <c:ptCount val="4"/>
                <c:pt idx="0">
                  <c:v>6.26499943914</c:v>
                </c:pt>
                <c:pt idx="1">
                  <c:v>7.88586177324</c:v>
                </c:pt>
                <c:pt idx="2">
                  <c:v>7.50673563411</c:v>
                </c:pt>
                <c:pt idx="3">
                  <c:v>9.11279907522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fuel_supply_costs.tsv!$DJ$14:$DJ$17</c:f>
              <c:numCache>
                <c:formatCode>General</c:formatCode>
                <c:ptCount val="4"/>
                <c:pt idx="0">
                  <c:v>66.8033953596</c:v>
                </c:pt>
                <c:pt idx="1">
                  <c:v>465.5607782</c:v>
                </c:pt>
                <c:pt idx="2">
                  <c:v>270.055678613</c:v>
                </c:pt>
                <c:pt idx="3">
                  <c:v>1697.18015683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fuel_supply_costs.tsv!$DK$14:$DK$17</c:f>
              <c:numCache>
                <c:formatCode>General</c:formatCode>
                <c:ptCount val="4"/>
                <c:pt idx="0">
                  <c:v>26.9359390312</c:v>
                </c:pt>
                <c:pt idx="1">
                  <c:v>29.8984311646</c:v>
                </c:pt>
                <c:pt idx="2">
                  <c:v>456.823216319</c:v>
                </c:pt>
                <c:pt idx="3">
                  <c:v>243.314306396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fuel_supply_costs.tsv!$DL$14:$DL$17</c:f>
              <c:numCache>
                <c:formatCode>General</c:formatCode>
                <c:ptCount val="4"/>
                <c:pt idx="0">
                  <c:v>8.0976089459</c:v>
                </c:pt>
                <c:pt idx="1">
                  <c:v>11.4353084741</c:v>
                </c:pt>
                <c:pt idx="2">
                  <c:v>22.2467630142</c:v>
                </c:pt>
                <c:pt idx="3">
                  <c:v>38.1180120547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fuel_supply_costs.tsv!$DM$14:$DM$17</c:f>
              <c:numCache>
                <c:formatCode>General</c:formatCode>
                <c:ptCount val="4"/>
                <c:pt idx="0">
                  <c:v>6.91599647925</c:v>
                </c:pt>
                <c:pt idx="1">
                  <c:v>6.05156241062</c:v>
                </c:pt>
                <c:pt idx="2">
                  <c:v>6.00158416998</c:v>
                </c:pt>
                <c:pt idx="3">
                  <c:v>6.00040569737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fuel_supply_costs.tsv!$DN$14:$DN$17</c:f>
              <c:numCache>
                <c:formatCode>General</c:formatCode>
                <c:ptCount val="4"/>
                <c:pt idx="0">
                  <c:v>8.58942402142</c:v>
                </c:pt>
                <c:pt idx="1">
                  <c:v>40.4593365137</c:v>
                </c:pt>
                <c:pt idx="2">
                  <c:v>7.11461216428</c:v>
                </c:pt>
                <c:pt idx="3">
                  <c:v>9.39209916815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fuel_supply_costs.tsv!$DO$14:$DO$17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805640"/>
        <c:axId val="-2135802328"/>
      </c:lineChart>
      <c:catAx>
        <c:axId val="-213580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802328"/>
        <c:crosses val="autoZero"/>
        <c:auto val="1"/>
        <c:lblAlgn val="ctr"/>
        <c:lblOffset val="100"/>
        <c:noMultiLvlLbl val="0"/>
      </c:catAx>
      <c:valAx>
        <c:axId val="-2135802328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8056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051885070658"/>
          <c:y val="0.0533333333333333"/>
          <c:w val="0.798379134727364"/>
          <c:h val="0.863511286089239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fuel_supply_costs.tsv!$C$26:$C$29</c:f>
              <c:numCache>
                <c:formatCode>General</c:formatCode>
                <c:ptCount val="4"/>
                <c:pt idx="0">
                  <c:v>42.1077983987</c:v>
                </c:pt>
                <c:pt idx="1">
                  <c:v>121.754672992</c:v>
                </c:pt>
                <c:pt idx="2">
                  <c:v>518.7327077039999</c:v>
                </c:pt>
                <c:pt idx="3">
                  <c:v>1013.97423412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fuel_supply_costs.tsv!$D$26:$D$29</c:f>
              <c:numCache>
                <c:formatCode>General</c:formatCode>
                <c:ptCount val="4"/>
                <c:pt idx="0">
                  <c:v>31.2211754052</c:v>
                </c:pt>
                <c:pt idx="1">
                  <c:v>33.6655361119</c:v>
                </c:pt>
                <c:pt idx="2">
                  <c:v>140.493368843</c:v>
                </c:pt>
                <c:pt idx="3">
                  <c:v>331.368769625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fuel_supply_costs.tsv!$E$26:$E$29</c:f>
              <c:numCache>
                <c:formatCode>General</c:formatCode>
                <c:ptCount val="4"/>
                <c:pt idx="0">
                  <c:v>63.9308256946</c:v>
                </c:pt>
                <c:pt idx="1">
                  <c:v>106.568995951</c:v>
                </c:pt>
                <c:pt idx="2">
                  <c:v>386.00347221</c:v>
                </c:pt>
                <c:pt idx="3">
                  <c:v>350.094259381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fuel_supply_costs.tsv!$F$26:$F$29</c:f>
              <c:numCache>
                <c:formatCode>General</c:formatCode>
                <c:ptCount val="4"/>
                <c:pt idx="0">
                  <c:v>28.7501978091</c:v>
                </c:pt>
                <c:pt idx="1">
                  <c:v>18.8899638542</c:v>
                </c:pt>
                <c:pt idx="2">
                  <c:v>17.7494160138</c:v>
                </c:pt>
                <c:pt idx="3">
                  <c:v>90.051605209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fuel_supply_costs.tsv!$G$26:$G$29</c:f>
              <c:numCache>
                <c:formatCode>General</c:formatCode>
                <c:ptCount val="4"/>
                <c:pt idx="0">
                  <c:v>20.4065583348</c:v>
                </c:pt>
                <c:pt idx="1">
                  <c:v>14.7648006099</c:v>
                </c:pt>
                <c:pt idx="2">
                  <c:v>41.4387792413</c:v>
                </c:pt>
                <c:pt idx="3">
                  <c:v>116.971078588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fuel_supply_costs.tsv!$H$26:$H$29</c:f>
              <c:numCache>
                <c:formatCode>General</c:formatCode>
                <c:ptCount val="4"/>
                <c:pt idx="0">
                  <c:v>15.0175372623</c:v>
                </c:pt>
                <c:pt idx="1">
                  <c:v>19.5769685928</c:v>
                </c:pt>
                <c:pt idx="2">
                  <c:v>46.0454241456</c:v>
                </c:pt>
                <c:pt idx="3">
                  <c:v>24.7434571867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fuel_supply_costs.tsv!$I$26:$I$29</c:f>
              <c:numCache>
                <c:formatCode>General</c:formatCode>
                <c:ptCount val="4"/>
                <c:pt idx="0">
                  <c:v>23.3294780678</c:v>
                </c:pt>
                <c:pt idx="1">
                  <c:v>16.7282580187</c:v>
                </c:pt>
                <c:pt idx="2">
                  <c:v>21.76870395</c:v>
                </c:pt>
                <c:pt idx="3">
                  <c:v>114.789815235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fuel_supply_costs.tsv!$J$26:$J$29</c:f>
              <c:numCache>
                <c:formatCode>General</c:formatCode>
                <c:ptCount val="4"/>
                <c:pt idx="0">
                  <c:v>38.1098843319</c:v>
                </c:pt>
                <c:pt idx="1">
                  <c:v>53.7699846587</c:v>
                </c:pt>
                <c:pt idx="2">
                  <c:v>102.97561355</c:v>
                </c:pt>
                <c:pt idx="3">
                  <c:v>199.951285333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fuel_supply_costs.tsv!$K$26:$K$29</c:f>
              <c:numCache>
                <c:formatCode>General</c:formatCode>
                <c:ptCount val="4"/>
                <c:pt idx="0">
                  <c:v>22.7563262209</c:v>
                </c:pt>
                <c:pt idx="1">
                  <c:v>87.2437352097</c:v>
                </c:pt>
                <c:pt idx="2">
                  <c:v>394.702622087</c:v>
                </c:pt>
                <c:pt idx="3">
                  <c:v>409.108992585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fuel_supply_costs.tsv!$L$26:$L$29</c:f>
              <c:numCache>
                <c:formatCode>General</c:formatCode>
                <c:ptCount val="4"/>
                <c:pt idx="0">
                  <c:v>39.0047332506</c:v>
                </c:pt>
                <c:pt idx="1">
                  <c:v>28.2602176689</c:v>
                </c:pt>
                <c:pt idx="2">
                  <c:v>46.9980682238</c:v>
                </c:pt>
                <c:pt idx="3">
                  <c:v>50.4604516167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fuel_supply_costs.tsv!$M$26:$M$29</c:f>
              <c:numCache>
                <c:formatCode>General</c:formatCode>
                <c:ptCount val="4"/>
                <c:pt idx="0">
                  <c:v>38.2509579503</c:v>
                </c:pt>
                <c:pt idx="1">
                  <c:v>38.6628738457</c:v>
                </c:pt>
                <c:pt idx="2">
                  <c:v>29.9887123581</c:v>
                </c:pt>
                <c:pt idx="3">
                  <c:v>24.6898609703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fuel_supply_costs.tsv!$N$26:$N$29</c:f>
              <c:numCache>
                <c:formatCode>General</c:formatCode>
                <c:ptCount val="4"/>
                <c:pt idx="0">
                  <c:v>15.7169429447</c:v>
                </c:pt>
                <c:pt idx="1">
                  <c:v>6.72911488574</c:v>
                </c:pt>
                <c:pt idx="2">
                  <c:v>10.9761955147</c:v>
                </c:pt>
                <c:pt idx="3">
                  <c:v>25.8657052931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fuel_supply_costs.tsv!$O$26:$O$29</c:f>
              <c:numCache>
                <c:formatCode>General</c:formatCode>
                <c:ptCount val="4"/>
                <c:pt idx="0">
                  <c:v>18.8792177326</c:v>
                </c:pt>
                <c:pt idx="1">
                  <c:v>80.5369198498</c:v>
                </c:pt>
                <c:pt idx="2">
                  <c:v>106.78133688</c:v>
                </c:pt>
                <c:pt idx="3">
                  <c:v>106.201837844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fuel_supply_costs.tsv!$P$26:$P$29</c:f>
              <c:numCache>
                <c:formatCode>General</c:formatCode>
                <c:ptCount val="4"/>
                <c:pt idx="0">
                  <c:v>21.5271487441</c:v>
                </c:pt>
                <c:pt idx="1">
                  <c:v>26.2324289121</c:v>
                </c:pt>
                <c:pt idx="2">
                  <c:v>92.3377012956</c:v>
                </c:pt>
                <c:pt idx="3">
                  <c:v>173.464164723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fuel_supply_costs.tsv!$Q$26:$Q$29</c:f>
              <c:numCache>
                <c:formatCode>General</c:formatCode>
                <c:ptCount val="4"/>
                <c:pt idx="0">
                  <c:v>27.6569294259</c:v>
                </c:pt>
                <c:pt idx="1">
                  <c:v>21.8618066206</c:v>
                </c:pt>
                <c:pt idx="2">
                  <c:v>18.0190783624</c:v>
                </c:pt>
                <c:pt idx="3">
                  <c:v>40.4457144395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fuel_supply_costs.tsv!$R$26:$R$29</c:f>
              <c:numCache>
                <c:formatCode>General</c:formatCode>
                <c:ptCount val="4"/>
                <c:pt idx="0">
                  <c:v>27.1503945375</c:v>
                </c:pt>
                <c:pt idx="1">
                  <c:v>27.1390788936</c:v>
                </c:pt>
                <c:pt idx="2">
                  <c:v>90.6699130935</c:v>
                </c:pt>
                <c:pt idx="3">
                  <c:v>76.8326209984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fuel_supply_costs.tsv!$S$26:$S$29</c:f>
              <c:numCache>
                <c:formatCode>General</c:formatCode>
                <c:ptCount val="4"/>
                <c:pt idx="0">
                  <c:v>16.8506777609</c:v>
                </c:pt>
                <c:pt idx="1">
                  <c:v>42.1662403309</c:v>
                </c:pt>
                <c:pt idx="2">
                  <c:v>182.713304131</c:v>
                </c:pt>
                <c:pt idx="3">
                  <c:v>354.074382339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fuel_supply_costs.tsv!$T$26:$T$29</c:f>
              <c:numCache>
                <c:formatCode>General</c:formatCode>
                <c:ptCount val="4"/>
                <c:pt idx="0">
                  <c:v>10.8353871407</c:v>
                </c:pt>
                <c:pt idx="1">
                  <c:v>56.2514605617</c:v>
                </c:pt>
                <c:pt idx="2">
                  <c:v>123.179556968</c:v>
                </c:pt>
                <c:pt idx="3">
                  <c:v>654.389895496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fuel_supply_costs.tsv!$U$26:$U$29</c:f>
              <c:numCache>
                <c:formatCode>General</c:formatCode>
                <c:ptCount val="4"/>
                <c:pt idx="0">
                  <c:v>29.8821513199</c:v>
                </c:pt>
                <c:pt idx="1">
                  <c:v>10.3791754856</c:v>
                </c:pt>
                <c:pt idx="2">
                  <c:v>48.1996218874</c:v>
                </c:pt>
                <c:pt idx="3">
                  <c:v>80.4721090167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fuel_supply_costs.tsv!$V$26:$V$29</c:f>
              <c:numCache>
                <c:formatCode>General</c:formatCode>
                <c:ptCount val="4"/>
                <c:pt idx="0">
                  <c:v>23.2465222345</c:v>
                </c:pt>
                <c:pt idx="1">
                  <c:v>17.6555859787</c:v>
                </c:pt>
                <c:pt idx="2">
                  <c:v>40.434602861</c:v>
                </c:pt>
                <c:pt idx="3">
                  <c:v>158.580053423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fuel_supply_costs.tsv!$W$26:$W$29</c:f>
              <c:numCache>
                <c:formatCode>General</c:formatCode>
                <c:ptCount val="4"/>
                <c:pt idx="0">
                  <c:v>102.760573134</c:v>
                </c:pt>
                <c:pt idx="1">
                  <c:v>163.173935779</c:v>
                </c:pt>
                <c:pt idx="2">
                  <c:v>456.785789858</c:v>
                </c:pt>
                <c:pt idx="3">
                  <c:v>235.13324062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fuel_supply_costs.tsv!$X$26:$X$29</c:f>
              <c:numCache>
                <c:formatCode>General</c:formatCode>
                <c:ptCount val="4"/>
                <c:pt idx="0">
                  <c:v>23.3544710452</c:v>
                </c:pt>
                <c:pt idx="1">
                  <c:v>27.2984664914</c:v>
                </c:pt>
                <c:pt idx="2">
                  <c:v>174.410485254</c:v>
                </c:pt>
                <c:pt idx="3">
                  <c:v>369.548259423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fuel_supply_costs.tsv!$Y$26:$Y$29</c:f>
              <c:numCache>
                <c:formatCode>General</c:formatCode>
                <c:ptCount val="4"/>
                <c:pt idx="0">
                  <c:v>25.265622475</c:v>
                </c:pt>
                <c:pt idx="1">
                  <c:v>41.3762989813</c:v>
                </c:pt>
                <c:pt idx="2">
                  <c:v>34.1864182066</c:v>
                </c:pt>
                <c:pt idx="3">
                  <c:v>60.6055293834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fuel_supply_costs.tsv!$Z$26:$Z$29</c:f>
              <c:numCache>
                <c:formatCode>General</c:formatCode>
                <c:ptCount val="4"/>
                <c:pt idx="0">
                  <c:v>82.764394546</c:v>
                </c:pt>
                <c:pt idx="1">
                  <c:v>319.661988614</c:v>
                </c:pt>
                <c:pt idx="2">
                  <c:v>819.539484981</c:v>
                </c:pt>
                <c:pt idx="3">
                  <c:v>1928.37720829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fuel_supply_costs.tsv!$AA$26:$AA$29</c:f>
              <c:numCache>
                <c:formatCode>General</c:formatCode>
                <c:ptCount val="4"/>
                <c:pt idx="0">
                  <c:v>20.6853108012</c:v>
                </c:pt>
                <c:pt idx="1">
                  <c:v>51.9470829124</c:v>
                </c:pt>
                <c:pt idx="2">
                  <c:v>29.350263517</c:v>
                </c:pt>
                <c:pt idx="3">
                  <c:v>21.6461229188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fuel_supply_costs.tsv!$AB$26:$AB$29</c:f>
              <c:numCache>
                <c:formatCode>General</c:formatCode>
                <c:ptCount val="4"/>
                <c:pt idx="0">
                  <c:v>25.6158681541</c:v>
                </c:pt>
                <c:pt idx="1">
                  <c:v>17.7994028209</c:v>
                </c:pt>
                <c:pt idx="2">
                  <c:v>19.8553141169</c:v>
                </c:pt>
                <c:pt idx="3">
                  <c:v>47.8929020996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fuel_supply_costs.tsv!$AC$26:$AC$29</c:f>
              <c:numCache>
                <c:formatCode>General</c:formatCode>
                <c:ptCount val="4"/>
                <c:pt idx="0">
                  <c:v>15.380939169</c:v>
                </c:pt>
                <c:pt idx="1">
                  <c:v>63.2672433855</c:v>
                </c:pt>
                <c:pt idx="2">
                  <c:v>62.6046782557</c:v>
                </c:pt>
                <c:pt idx="3">
                  <c:v>77.9056502299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fuel_supply_costs.tsv!$AD$26:$AD$29</c:f>
              <c:numCache>
                <c:formatCode>General</c:formatCode>
                <c:ptCount val="4"/>
                <c:pt idx="0">
                  <c:v>11.0801166089</c:v>
                </c:pt>
                <c:pt idx="1">
                  <c:v>26.3909722096</c:v>
                </c:pt>
                <c:pt idx="2">
                  <c:v>50.2976917668</c:v>
                </c:pt>
                <c:pt idx="3">
                  <c:v>75.6530128437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fuel_supply_costs.tsv!$AE$26:$AE$29</c:f>
              <c:numCache>
                <c:formatCode>General</c:formatCode>
                <c:ptCount val="4"/>
                <c:pt idx="0">
                  <c:v>20.4610813013</c:v>
                </c:pt>
                <c:pt idx="1">
                  <c:v>53.1861248796</c:v>
                </c:pt>
                <c:pt idx="2">
                  <c:v>125.591888925</c:v>
                </c:pt>
                <c:pt idx="3">
                  <c:v>217.289953568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fuel_supply_costs.tsv!$AF$26:$AF$29</c:f>
              <c:numCache>
                <c:formatCode>General</c:formatCode>
                <c:ptCount val="4"/>
                <c:pt idx="0">
                  <c:v>21.0397543703</c:v>
                </c:pt>
                <c:pt idx="1">
                  <c:v>20.858567948</c:v>
                </c:pt>
                <c:pt idx="2">
                  <c:v>104.086113674</c:v>
                </c:pt>
                <c:pt idx="3">
                  <c:v>65.392849465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fuel_supply_costs.tsv!$AG$26:$AG$29</c:f>
              <c:numCache>
                <c:formatCode>General</c:formatCode>
                <c:ptCount val="4"/>
                <c:pt idx="0">
                  <c:v>14.2552874879</c:v>
                </c:pt>
                <c:pt idx="1">
                  <c:v>32.3854898874</c:v>
                </c:pt>
                <c:pt idx="2">
                  <c:v>29.6053543784</c:v>
                </c:pt>
                <c:pt idx="3">
                  <c:v>44.5273041234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fuel_supply_costs.tsv!$AH$26:$AH$29</c:f>
              <c:numCache>
                <c:formatCode>General</c:formatCode>
                <c:ptCount val="4"/>
                <c:pt idx="0">
                  <c:v>36.0974506728</c:v>
                </c:pt>
                <c:pt idx="1">
                  <c:v>17.7876654222</c:v>
                </c:pt>
                <c:pt idx="2">
                  <c:v>55.167067428</c:v>
                </c:pt>
                <c:pt idx="3">
                  <c:v>13.8260834537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fuel_supply_costs.tsv!$AI$26:$AI$29</c:f>
              <c:numCache>
                <c:formatCode>General</c:formatCode>
                <c:ptCount val="4"/>
                <c:pt idx="0">
                  <c:v>32.8186609002</c:v>
                </c:pt>
                <c:pt idx="1">
                  <c:v>246.230707659</c:v>
                </c:pt>
                <c:pt idx="2">
                  <c:v>801.925070043</c:v>
                </c:pt>
                <c:pt idx="3">
                  <c:v>3345.87944856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fuel_supply_costs.tsv!$AJ$26:$AJ$29</c:f>
              <c:numCache>
                <c:formatCode>General</c:formatCode>
                <c:ptCount val="4"/>
                <c:pt idx="0">
                  <c:v>65.043363859</c:v>
                </c:pt>
                <c:pt idx="1">
                  <c:v>294.014129921</c:v>
                </c:pt>
                <c:pt idx="2">
                  <c:v>690.943632502</c:v>
                </c:pt>
                <c:pt idx="3">
                  <c:v>1800.76255201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fuel_supply_costs.tsv!$AK$26:$AK$29</c:f>
              <c:numCache>
                <c:formatCode>General</c:formatCode>
                <c:ptCount val="4"/>
                <c:pt idx="0">
                  <c:v>8.527826004670001</c:v>
                </c:pt>
                <c:pt idx="1">
                  <c:v>9.290649681670001</c:v>
                </c:pt>
                <c:pt idx="2">
                  <c:v>23.5177151055</c:v>
                </c:pt>
                <c:pt idx="3">
                  <c:v>85.3509119262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fuel_supply_costs.tsv!$AL$26:$AL$29</c:f>
              <c:numCache>
                <c:formatCode>General</c:formatCode>
                <c:ptCount val="4"/>
                <c:pt idx="0">
                  <c:v>24.6271681079</c:v>
                </c:pt>
                <c:pt idx="1">
                  <c:v>13.8837008888</c:v>
                </c:pt>
                <c:pt idx="2">
                  <c:v>16.9515296248</c:v>
                </c:pt>
                <c:pt idx="3">
                  <c:v>53.8556716774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fuel_supply_costs.tsv!$AM$26:$AM$29</c:f>
              <c:numCache>
                <c:formatCode>General</c:formatCode>
                <c:ptCount val="4"/>
                <c:pt idx="0">
                  <c:v>49.6890239443</c:v>
                </c:pt>
                <c:pt idx="1">
                  <c:v>76.714604301</c:v>
                </c:pt>
                <c:pt idx="2">
                  <c:v>55.8511568335</c:v>
                </c:pt>
                <c:pt idx="3">
                  <c:v>180.839883673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fuel_supply_costs.tsv!$AN$26:$AN$29</c:f>
              <c:numCache>
                <c:formatCode>General</c:formatCode>
                <c:ptCount val="4"/>
                <c:pt idx="0">
                  <c:v>52.8419729351</c:v>
                </c:pt>
                <c:pt idx="1">
                  <c:v>154.14858663</c:v>
                </c:pt>
                <c:pt idx="2">
                  <c:v>149.847052975</c:v>
                </c:pt>
                <c:pt idx="3">
                  <c:v>154.447887707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fuel_supply_costs.tsv!$AO$26:$AO$29</c:f>
              <c:numCache>
                <c:formatCode>General</c:formatCode>
                <c:ptCount val="4"/>
                <c:pt idx="0">
                  <c:v>38.2636737463</c:v>
                </c:pt>
                <c:pt idx="1">
                  <c:v>140.860539884</c:v>
                </c:pt>
                <c:pt idx="2">
                  <c:v>251.413515973</c:v>
                </c:pt>
                <c:pt idx="3">
                  <c:v>334.503091399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fuel_supply_costs.tsv!$AP$26:$AP$29</c:f>
              <c:numCache>
                <c:formatCode>General</c:formatCode>
                <c:ptCount val="4"/>
                <c:pt idx="0">
                  <c:v>10.9115464543</c:v>
                </c:pt>
                <c:pt idx="1">
                  <c:v>6.92501485954</c:v>
                </c:pt>
                <c:pt idx="2">
                  <c:v>7.78108211826</c:v>
                </c:pt>
                <c:pt idx="3">
                  <c:v>14.7047577479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fuel_supply_costs.tsv!$AQ$26:$AQ$29</c:f>
              <c:numCache>
                <c:formatCode>General</c:formatCode>
                <c:ptCount val="4"/>
                <c:pt idx="0">
                  <c:v>20.397875023</c:v>
                </c:pt>
                <c:pt idx="1">
                  <c:v>77.5528175279</c:v>
                </c:pt>
                <c:pt idx="2">
                  <c:v>124.762011129</c:v>
                </c:pt>
                <c:pt idx="3">
                  <c:v>376.806054728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fuel_supply_costs.tsv!$AR$26:$AR$29</c:f>
              <c:numCache>
                <c:formatCode>General</c:formatCode>
                <c:ptCount val="4"/>
                <c:pt idx="0">
                  <c:v>26.7576029691</c:v>
                </c:pt>
                <c:pt idx="1">
                  <c:v>41.072151913</c:v>
                </c:pt>
                <c:pt idx="2">
                  <c:v>57.0244311111</c:v>
                </c:pt>
                <c:pt idx="3">
                  <c:v>112.989447355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fuel_supply_costs.tsv!$AS$26:$AS$29</c:f>
              <c:numCache>
                <c:formatCode>General</c:formatCode>
                <c:ptCount val="4"/>
                <c:pt idx="0">
                  <c:v>59.6551564227</c:v>
                </c:pt>
                <c:pt idx="1">
                  <c:v>236.247849414</c:v>
                </c:pt>
                <c:pt idx="2">
                  <c:v>1030.49103722</c:v>
                </c:pt>
                <c:pt idx="3">
                  <c:v>3434.56863029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fuel_supply_costs.tsv!$AT$26:$AT$29</c:f>
              <c:numCache>
                <c:formatCode>General</c:formatCode>
                <c:ptCount val="4"/>
                <c:pt idx="0">
                  <c:v>43.6695982374</c:v>
                </c:pt>
                <c:pt idx="1">
                  <c:v>77.3756048682</c:v>
                </c:pt>
                <c:pt idx="2">
                  <c:v>95.4511884763</c:v>
                </c:pt>
                <c:pt idx="3">
                  <c:v>93.72152203740001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fuel_supply_costs.tsv!$AU$26:$AU$29</c:f>
              <c:numCache>
                <c:formatCode>General</c:formatCode>
                <c:ptCount val="4"/>
                <c:pt idx="0">
                  <c:v>17.0820829199</c:v>
                </c:pt>
                <c:pt idx="1">
                  <c:v>32.5409413286</c:v>
                </c:pt>
                <c:pt idx="2">
                  <c:v>37.5316970083</c:v>
                </c:pt>
                <c:pt idx="3">
                  <c:v>50.5193336518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fuel_supply_costs.tsv!$AV$26:$AV$29</c:f>
              <c:numCache>
                <c:formatCode>General</c:formatCode>
                <c:ptCount val="4"/>
                <c:pt idx="0">
                  <c:v>32.7110053247</c:v>
                </c:pt>
                <c:pt idx="1">
                  <c:v>123.195952236</c:v>
                </c:pt>
                <c:pt idx="2">
                  <c:v>331.631331571</c:v>
                </c:pt>
                <c:pt idx="3">
                  <c:v>910.929052276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fuel_supply_costs.tsv!$AW$26:$AW$29</c:f>
              <c:numCache>
                <c:formatCode>General</c:formatCode>
                <c:ptCount val="4"/>
                <c:pt idx="0">
                  <c:v>37.4544402377</c:v>
                </c:pt>
                <c:pt idx="1">
                  <c:v>45.8518758828</c:v>
                </c:pt>
                <c:pt idx="2">
                  <c:v>163.014698053</c:v>
                </c:pt>
                <c:pt idx="3">
                  <c:v>232.431623659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fuel_supply_costs.tsv!$AX$26:$AX$29</c:f>
              <c:numCache>
                <c:formatCode>General</c:formatCode>
                <c:ptCount val="4"/>
                <c:pt idx="0">
                  <c:v>30.7720094955</c:v>
                </c:pt>
                <c:pt idx="1">
                  <c:v>87.0381810958</c:v>
                </c:pt>
                <c:pt idx="2">
                  <c:v>285.082168714</c:v>
                </c:pt>
                <c:pt idx="3">
                  <c:v>298.434006677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fuel_supply_costs.tsv!$AY$26:$AY$29</c:f>
              <c:numCache>
                <c:formatCode>General</c:formatCode>
                <c:ptCount val="4"/>
                <c:pt idx="0">
                  <c:v>9.90501389643</c:v>
                </c:pt>
                <c:pt idx="1">
                  <c:v>8.78816544397</c:v>
                </c:pt>
                <c:pt idx="2">
                  <c:v>12.652397462</c:v>
                </c:pt>
                <c:pt idx="3">
                  <c:v>15.8974576165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fuel_supply_costs.tsv!$AZ$26:$AZ$29</c:f>
              <c:numCache>
                <c:formatCode>General</c:formatCode>
                <c:ptCount val="4"/>
                <c:pt idx="0">
                  <c:v>26.2077219507</c:v>
                </c:pt>
                <c:pt idx="1">
                  <c:v>33.4209867763</c:v>
                </c:pt>
                <c:pt idx="2">
                  <c:v>113.969060008</c:v>
                </c:pt>
                <c:pt idx="3">
                  <c:v>85.9299000247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fuel_supply_costs.tsv!$BA$26:$BA$29</c:f>
              <c:numCache>
                <c:formatCode>General</c:formatCode>
                <c:ptCount val="4"/>
                <c:pt idx="0">
                  <c:v>24.5893736663</c:v>
                </c:pt>
                <c:pt idx="1">
                  <c:v>40.8315714466</c:v>
                </c:pt>
                <c:pt idx="2">
                  <c:v>66.6083193417</c:v>
                </c:pt>
                <c:pt idx="3">
                  <c:v>125.446614835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fuel_supply_costs.tsv!$BB$26:$BB$29</c:f>
              <c:numCache>
                <c:formatCode>General</c:formatCode>
                <c:ptCount val="4"/>
                <c:pt idx="0">
                  <c:v>13.3674186483</c:v>
                </c:pt>
                <c:pt idx="1">
                  <c:v>10.3243793451</c:v>
                </c:pt>
                <c:pt idx="2">
                  <c:v>19.353105989</c:v>
                </c:pt>
                <c:pt idx="3">
                  <c:v>66.9282716352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fuel_supply_costs.tsv!$BC$26:$BC$29</c:f>
              <c:numCache>
                <c:formatCode>General</c:formatCode>
                <c:ptCount val="4"/>
                <c:pt idx="0">
                  <c:v>53.8159846629</c:v>
                </c:pt>
                <c:pt idx="1">
                  <c:v>112.852874279</c:v>
                </c:pt>
                <c:pt idx="2">
                  <c:v>533.472358575</c:v>
                </c:pt>
                <c:pt idx="3">
                  <c:v>801.63911817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fuel_supply_costs.tsv!$BD$26:$BD$29</c:f>
              <c:numCache>
                <c:formatCode>General</c:formatCode>
                <c:ptCount val="4"/>
                <c:pt idx="0">
                  <c:v>85.5933025575</c:v>
                </c:pt>
                <c:pt idx="1">
                  <c:v>306.932114931</c:v>
                </c:pt>
                <c:pt idx="2">
                  <c:v>650.170059962</c:v>
                </c:pt>
                <c:pt idx="3">
                  <c:v>345.903109643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fuel_supply_costs.tsv!$BE$26:$BE$29</c:f>
              <c:numCache>
                <c:formatCode>General</c:formatCode>
                <c:ptCount val="4"/>
                <c:pt idx="0">
                  <c:v>39.5442868938</c:v>
                </c:pt>
                <c:pt idx="1">
                  <c:v>34.7625866684</c:v>
                </c:pt>
                <c:pt idx="2">
                  <c:v>32.0245849876</c:v>
                </c:pt>
                <c:pt idx="3">
                  <c:v>65.4782972484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fuel_supply_costs.tsv!$BF$26:$BF$29</c:f>
              <c:numCache>
                <c:formatCode>General</c:formatCode>
                <c:ptCount val="4"/>
                <c:pt idx="0">
                  <c:v>18.8028524936</c:v>
                </c:pt>
                <c:pt idx="1">
                  <c:v>46.0312823676</c:v>
                </c:pt>
                <c:pt idx="2">
                  <c:v>276.764535393</c:v>
                </c:pt>
                <c:pt idx="3">
                  <c:v>788.760201729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fuel_supply_costs.tsv!$BG$26:$BG$29</c:f>
              <c:numCache>
                <c:formatCode>General</c:formatCode>
                <c:ptCount val="4"/>
                <c:pt idx="0">
                  <c:v>18.3069019166</c:v>
                </c:pt>
                <c:pt idx="1">
                  <c:v>17.4560354642</c:v>
                </c:pt>
                <c:pt idx="2">
                  <c:v>26.0842519745</c:v>
                </c:pt>
                <c:pt idx="3">
                  <c:v>36.3826971734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fuel_supply_costs.tsv!$BH$26:$BH$29</c:f>
              <c:numCache>
                <c:formatCode>General</c:formatCode>
                <c:ptCount val="4"/>
                <c:pt idx="0">
                  <c:v>29.7365940504</c:v>
                </c:pt>
                <c:pt idx="1">
                  <c:v>45.1234105082</c:v>
                </c:pt>
                <c:pt idx="2">
                  <c:v>89.0468528591</c:v>
                </c:pt>
                <c:pt idx="3">
                  <c:v>149.92415948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fuel_supply_costs.tsv!$BI$26:$BI$29</c:f>
              <c:numCache>
                <c:formatCode>General</c:formatCode>
                <c:ptCount val="4"/>
                <c:pt idx="0">
                  <c:v>32.5719135212</c:v>
                </c:pt>
                <c:pt idx="1">
                  <c:v>69.4287690808</c:v>
                </c:pt>
                <c:pt idx="2">
                  <c:v>100.516117961</c:v>
                </c:pt>
                <c:pt idx="3">
                  <c:v>159.191552317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fuel_supply_costs.tsv!$BJ$26:$BJ$29</c:f>
              <c:numCache>
                <c:formatCode>General</c:formatCode>
                <c:ptCount val="4"/>
                <c:pt idx="0">
                  <c:v>27.6146136098</c:v>
                </c:pt>
                <c:pt idx="1">
                  <c:v>34.8833942093</c:v>
                </c:pt>
                <c:pt idx="2">
                  <c:v>58.6184795021</c:v>
                </c:pt>
                <c:pt idx="3">
                  <c:v>217.632257001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fuel_supply_costs.tsv!$BK$26:$BK$29</c:f>
              <c:numCache>
                <c:formatCode>General</c:formatCode>
                <c:ptCount val="4"/>
                <c:pt idx="0">
                  <c:v>32.7945669841</c:v>
                </c:pt>
                <c:pt idx="1">
                  <c:v>112.595384454</c:v>
                </c:pt>
                <c:pt idx="2">
                  <c:v>242.325867004</c:v>
                </c:pt>
                <c:pt idx="3">
                  <c:v>429.133291357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fuel_supply_costs.tsv!$BL$26:$BL$29</c:f>
              <c:numCache>
                <c:formatCode>General</c:formatCode>
                <c:ptCount val="4"/>
                <c:pt idx="0">
                  <c:v>16.9429961531</c:v>
                </c:pt>
                <c:pt idx="1">
                  <c:v>36.2149162472</c:v>
                </c:pt>
                <c:pt idx="2">
                  <c:v>44.7346896716</c:v>
                </c:pt>
                <c:pt idx="3">
                  <c:v>79.33435300319999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fuel_supply_costs.tsv!$BM$26:$BM$29</c:f>
              <c:numCache>
                <c:formatCode>General</c:formatCode>
                <c:ptCount val="4"/>
                <c:pt idx="0">
                  <c:v>17.8543142718</c:v>
                </c:pt>
                <c:pt idx="1">
                  <c:v>32.3574702666</c:v>
                </c:pt>
                <c:pt idx="2">
                  <c:v>31.1989822823</c:v>
                </c:pt>
                <c:pt idx="3">
                  <c:v>102.259186079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fuel_supply_costs.tsv!$BN$26:$BN$29</c:f>
              <c:numCache>
                <c:formatCode>General</c:formatCode>
                <c:ptCount val="4"/>
                <c:pt idx="0">
                  <c:v>23.3829328575</c:v>
                </c:pt>
                <c:pt idx="1">
                  <c:v>51.0171091267</c:v>
                </c:pt>
                <c:pt idx="2">
                  <c:v>53.0918367915</c:v>
                </c:pt>
                <c:pt idx="3">
                  <c:v>123.8840445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fuel_supply_costs.tsv!$BO$26:$BO$29</c:f>
              <c:numCache>
                <c:formatCode>General</c:formatCode>
                <c:ptCount val="4"/>
                <c:pt idx="0">
                  <c:v>22.6877518836</c:v>
                </c:pt>
                <c:pt idx="1">
                  <c:v>13.7928112425</c:v>
                </c:pt>
                <c:pt idx="2">
                  <c:v>4.94247723141</c:v>
                </c:pt>
                <c:pt idx="3">
                  <c:v>19.0615155966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fuel_supply_costs.tsv!$BP$26:$BP$29</c:f>
              <c:numCache>
                <c:formatCode>General</c:formatCode>
                <c:ptCount val="4"/>
                <c:pt idx="0">
                  <c:v>19.2194328058</c:v>
                </c:pt>
                <c:pt idx="1">
                  <c:v>46.562339537</c:v>
                </c:pt>
                <c:pt idx="2">
                  <c:v>71.9316978666</c:v>
                </c:pt>
                <c:pt idx="3">
                  <c:v>326.227337368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fuel_supply_costs.tsv!$BQ$26:$BQ$29</c:f>
              <c:numCache>
                <c:formatCode>General</c:formatCode>
                <c:ptCount val="4"/>
                <c:pt idx="0">
                  <c:v>16.3793454963</c:v>
                </c:pt>
                <c:pt idx="1">
                  <c:v>7.43664212692</c:v>
                </c:pt>
                <c:pt idx="2">
                  <c:v>8.53919696177</c:v>
                </c:pt>
                <c:pt idx="3">
                  <c:v>16.8077657889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fuel_supply_costs.tsv!$BR$26:$BR$29</c:f>
              <c:numCache>
                <c:formatCode>General</c:formatCode>
                <c:ptCount val="4"/>
                <c:pt idx="0">
                  <c:v>19.8205226988</c:v>
                </c:pt>
                <c:pt idx="1">
                  <c:v>52.4752739418</c:v>
                </c:pt>
                <c:pt idx="2">
                  <c:v>242.806581751</c:v>
                </c:pt>
                <c:pt idx="3">
                  <c:v>751.741070951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fuel_supply_costs.tsv!$BS$26:$BS$29</c:f>
              <c:numCache>
                <c:formatCode>General</c:formatCode>
                <c:ptCount val="4"/>
                <c:pt idx="0">
                  <c:v>22.1393187564</c:v>
                </c:pt>
                <c:pt idx="1">
                  <c:v>23.2668317594</c:v>
                </c:pt>
                <c:pt idx="2">
                  <c:v>143.648178194</c:v>
                </c:pt>
                <c:pt idx="3">
                  <c:v>157.030495423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fuel_supply_costs.tsv!$BT$26:$BT$29</c:f>
              <c:numCache>
                <c:formatCode>General</c:formatCode>
                <c:ptCount val="4"/>
                <c:pt idx="0">
                  <c:v>25.7586617132</c:v>
                </c:pt>
                <c:pt idx="1">
                  <c:v>68.4026026625</c:v>
                </c:pt>
                <c:pt idx="2">
                  <c:v>378.250814211</c:v>
                </c:pt>
                <c:pt idx="3">
                  <c:v>499.520532792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fuel_supply_costs.tsv!$BU$26:$BU$29</c:f>
              <c:numCache>
                <c:formatCode>General</c:formatCode>
                <c:ptCount val="4"/>
                <c:pt idx="0">
                  <c:v>26.8207391785</c:v>
                </c:pt>
                <c:pt idx="1">
                  <c:v>98.7520163474</c:v>
                </c:pt>
                <c:pt idx="2">
                  <c:v>305.967262277</c:v>
                </c:pt>
                <c:pt idx="3">
                  <c:v>750.687382577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fuel_supply_costs.tsv!$BV$26:$BV$29</c:f>
              <c:numCache>
                <c:formatCode>General</c:formatCode>
                <c:ptCount val="4"/>
                <c:pt idx="0">
                  <c:v>20.1658952747</c:v>
                </c:pt>
                <c:pt idx="1">
                  <c:v>18.3620877941</c:v>
                </c:pt>
                <c:pt idx="2">
                  <c:v>33.9554163139</c:v>
                </c:pt>
                <c:pt idx="3">
                  <c:v>70.0448820642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fuel_supply_costs.tsv!$BW$26:$BW$29</c:f>
              <c:numCache>
                <c:formatCode>General</c:formatCode>
                <c:ptCount val="4"/>
                <c:pt idx="0">
                  <c:v>36.2079799205</c:v>
                </c:pt>
                <c:pt idx="1">
                  <c:v>38.4621751734</c:v>
                </c:pt>
                <c:pt idx="2">
                  <c:v>98.22543432729999</c:v>
                </c:pt>
                <c:pt idx="3">
                  <c:v>236.202875496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fuel_supply_costs.tsv!$BX$26:$BX$29</c:f>
              <c:numCache>
                <c:formatCode>General</c:formatCode>
                <c:ptCount val="4"/>
                <c:pt idx="0">
                  <c:v>43.8881784919</c:v>
                </c:pt>
                <c:pt idx="1">
                  <c:v>100.219673978</c:v>
                </c:pt>
                <c:pt idx="2">
                  <c:v>135.399328663</c:v>
                </c:pt>
                <c:pt idx="3">
                  <c:v>394.90162779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fuel_supply_costs.tsv!$BY$26:$BY$29</c:f>
              <c:numCache>
                <c:formatCode>General</c:formatCode>
                <c:ptCount val="4"/>
                <c:pt idx="0">
                  <c:v>9.95837991214</c:v>
                </c:pt>
                <c:pt idx="1">
                  <c:v>34.185813728</c:v>
                </c:pt>
                <c:pt idx="2">
                  <c:v>55.5426167118</c:v>
                </c:pt>
                <c:pt idx="3">
                  <c:v>119.462986464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fuel_supply_costs.tsv!$BZ$26:$BZ$29</c:f>
              <c:numCache>
                <c:formatCode>General</c:formatCode>
                <c:ptCount val="4"/>
                <c:pt idx="0">
                  <c:v>39.536342345</c:v>
                </c:pt>
                <c:pt idx="1">
                  <c:v>55.3041727932</c:v>
                </c:pt>
                <c:pt idx="2">
                  <c:v>99.2617285797</c:v>
                </c:pt>
                <c:pt idx="3">
                  <c:v>64.6941627099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fuel_supply_costs.tsv!$CA$26:$CA$29</c:f>
              <c:numCache>
                <c:formatCode>General</c:formatCode>
                <c:ptCount val="4"/>
                <c:pt idx="0">
                  <c:v>28.5733669841</c:v>
                </c:pt>
                <c:pt idx="1">
                  <c:v>20.0711261189</c:v>
                </c:pt>
                <c:pt idx="2">
                  <c:v>16.771406617</c:v>
                </c:pt>
                <c:pt idx="3">
                  <c:v>30.0802363399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fuel_supply_costs.tsv!$CB$26:$CB$29</c:f>
              <c:numCache>
                <c:formatCode>General</c:formatCode>
                <c:ptCount val="4"/>
                <c:pt idx="0">
                  <c:v>54.2334027873</c:v>
                </c:pt>
                <c:pt idx="1">
                  <c:v>126.112279413</c:v>
                </c:pt>
                <c:pt idx="2">
                  <c:v>176.098114128</c:v>
                </c:pt>
                <c:pt idx="3">
                  <c:v>400.362664541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fuel_supply_costs.tsv!$CC$26:$CC$29</c:f>
              <c:numCache>
                <c:formatCode>General</c:formatCode>
                <c:ptCount val="4"/>
                <c:pt idx="0">
                  <c:v>14.7543785024</c:v>
                </c:pt>
                <c:pt idx="1">
                  <c:v>23.5179072197</c:v>
                </c:pt>
                <c:pt idx="2">
                  <c:v>66.726290099</c:v>
                </c:pt>
                <c:pt idx="3">
                  <c:v>458.610827185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fuel_supply_costs.tsv!$CD$26:$CD$29</c:f>
              <c:numCache>
                <c:formatCode>General</c:formatCode>
                <c:ptCount val="4"/>
                <c:pt idx="0">
                  <c:v>21.676440194</c:v>
                </c:pt>
                <c:pt idx="1">
                  <c:v>33.9282746289</c:v>
                </c:pt>
                <c:pt idx="2">
                  <c:v>66.2302934905</c:v>
                </c:pt>
                <c:pt idx="3">
                  <c:v>381.915125743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fuel_supply_costs.tsv!$CE$26:$CE$29</c:f>
              <c:numCache>
                <c:formatCode>General</c:formatCode>
                <c:ptCount val="4"/>
                <c:pt idx="0">
                  <c:v>51.1661715955</c:v>
                </c:pt>
                <c:pt idx="1">
                  <c:v>100.031597188</c:v>
                </c:pt>
                <c:pt idx="2">
                  <c:v>458.929632351</c:v>
                </c:pt>
                <c:pt idx="3">
                  <c:v>1201.00111721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fuel_supply_costs.tsv!$CF$26:$CF$29</c:f>
              <c:numCache>
                <c:formatCode>General</c:formatCode>
                <c:ptCount val="4"/>
                <c:pt idx="0">
                  <c:v>15.0043015938</c:v>
                </c:pt>
                <c:pt idx="1">
                  <c:v>9.89722397625</c:v>
                </c:pt>
                <c:pt idx="2">
                  <c:v>29.9077649755</c:v>
                </c:pt>
                <c:pt idx="3">
                  <c:v>66.37632852599999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fuel_supply_costs.tsv!$CG$26:$CG$29</c:f>
              <c:numCache>
                <c:formatCode>General</c:formatCode>
                <c:ptCount val="4"/>
                <c:pt idx="0">
                  <c:v>17.7257226037</c:v>
                </c:pt>
                <c:pt idx="1">
                  <c:v>14.1258503701</c:v>
                </c:pt>
                <c:pt idx="2">
                  <c:v>7.22220427196</c:v>
                </c:pt>
                <c:pt idx="3">
                  <c:v>9.11702296237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fuel_supply_costs.tsv!$CH$26:$CH$29</c:f>
              <c:numCache>
                <c:formatCode>General</c:formatCode>
                <c:ptCount val="4"/>
                <c:pt idx="0">
                  <c:v>22.9049784904</c:v>
                </c:pt>
                <c:pt idx="1">
                  <c:v>38.3864678481</c:v>
                </c:pt>
                <c:pt idx="2">
                  <c:v>224.054264028</c:v>
                </c:pt>
                <c:pt idx="3">
                  <c:v>451.258538672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fuel_supply_costs.tsv!$CI$26:$CI$29</c:f>
              <c:numCache>
                <c:formatCode>General</c:formatCode>
                <c:ptCount val="4"/>
                <c:pt idx="0">
                  <c:v>38.94821467</c:v>
                </c:pt>
                <c:pt idx="1">
                  <c:v>26.4108623633</c:v>
                </c:pt>
                <c:pt idx="2">
                  <c:v>40.6136266977</c:v>
                </c:pt>
                <c:pt idx="3">
                  <c:v>86.1507491003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fuel_supply_costs.tsv!$CJ$26:$CJ$29</c:f>
              <c:numCache>
                <c:formatCode>General</c:formatCode>
                <c:ptCount val="4"/>
                <c:pt idx="0">
                  <c:v>27.5929536403</c:v>
                </c:pt>
                <c:pt idx="1">
                  <c:v>14.461117919</c:v>
                </c:pt>
                <c:pt idx="2">
                  <c:v>15.7550146439</c:v>
                </c:pt>
                <c:pt idx="3">
                  <c:v>8.95564856919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fuel_supply_costs.tsv!$CK$26:$CK$29</c:f>
              <c:numCache>
                <c:formatCode>General</c:formatCode>
                <c:ptCount val="4"/>
                <c:pt idx="0">
                  <c:v>19.8741104594</c:v>
                </c:pt>
                <c:pt idx="1">
                  <c:v>51.3115187764</c:v>
                </c:pt>
                <c:pt idx="2">
                  <c:v>169.769534056</c:v>
                </c:pt>
                <c:pt idx="3">
                  <c:v>255.871459108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fuel_supply_costs.tsv!$CL$26:$CL$29</c:f>
              <c:numCache>
                <c:formatCode>General</c:formatCode>
                <c:ptCount val="4"/>
                <c:pt idx="0">
                  <c:v>21.7887997271</c:v>
                </c:pt>
                <c:pt idx="1">
                  <c:v>36.7058219943</c:v>
                </c:pt>
                <c:pt idx="2">
                  <c:v>34.5453153372</c:v>
                </c:pt>
                <c:pt idx="3">
                  <c:v>18.2857295353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fuel_supply_costs.tsv!$CM$26:$CM$29</c:f>
              <c:numCache>
                <c:formatCode>General</c:formatCode>
                <c:ptCount val="4"/>
                <c:pt idx="0">
                  <c:v>45.6785517284</c:v>
                </c:pt>
                <c:pt idx="1">
                  <c:v>61.5660330147</c:v>
                </c:pt>
                <c:pt idx="2">
                  <c:v>144.076533604</c:v>
                </c:pt>
                <c:pt idx="3">
                  <c:v>234.488762758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fuel_supply_costs.tsv!$CN$26:$CN$29</c:f>
              <c:numCache>
                <c:formatCode>General</c:formatCode>
                <c:ptCount val="4"/>
                <c:pt idx="0">
                  <c:v>56.4690357548</c:v>
                </c:pt>
                <c:pt idx="1">
                  <c:v>97.9949910739</c:v>
                </c:pt>
                <c:pt idx="2">
                  <c:v>303.363028383</c:v>
                </c:pt>
                <c:pt idx="3">
                  <c:v>530.639526476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fuel_supply_costs.tsv!$CO$26:$CO$29</c:f>
              <c:numCache>
                <c:formatCode>General</c:formatCode>
                <c:ptCount val="4"/>
                <c:pt idx="0">
                  <c:v>22.8641170529</c:v>
                </c:pt>
                <c:pt idx="1">
                  <c:v>78.6445278183</c:v>
                </c:pt>
                <c:pt idx="2">
                  <c:v>78.0090462292</c:v>
                </c:pt>
                <c:pt idx="3">
                  <c:v>182.272204114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fuel_supply_costs.tsv!$CP$26:$CP$29</c:f>
              <c:numCache>
                <c:formatCode>General</c:formatCode>
                <c:ptCount val="4"/>
                <c:pt idx="0">
                  <c:v>34.1267557302</c:v>
                </c:pt>
                <c:pt idx="1">
                  <c:v>76.6500992211</c:v>
                </c:pt>
                <c:pt idx="2">
                  <c:v>163.104165905</c:v>
                </c:pt>
                <c:pt idx="3">
                  <c:v>422.10260697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fuel_supply_costs.tsv!$CQ$26:$CQ$29</c:f>
              <c:numCache>
                <c:formatCode>General</c:formatCode>
                <c:ptCount val="4"/>
                <c:pt idx="0">
                  <c:v>25.9515487942</c:v>
                </c:pt>
                <c:pt idx="1">
                  <c:v>64.9214645759</c:v>
                </c:pt>
                <c:pt idx="2">
                  <c:v>139.155135018</c:v>
                </c:pt>
                <c:pt idx="3">
                  <c:v>120.625108765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fuel_supply_costs.tsv!$CR$26:$CR$29</c:f>
              <c:numCache>
                <c:formatCode>General</c:formatCode>
                <c:ptCount val="4"/>
                <c:pt idx="0">
                  <c:v>17.9490113652</c:v>
                </c:pt>
                <c:pt idx="1">
                  <c:v>42.3962966329</c:v>
                </c:pt>
                <c:pt idx="2">
                  <c:v>61.4558363534</c:v>
                </c:pt>
                <c:pt idx="3">
                  <c:v>233.094025093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fuel_supply_costs.tsv!$CS$26:$CS$29</c:f>
              <c:numCache>
                <c:formatCode>General</c:formatCode>
                <c:ptCount val="4"/>
                <c:pt idx="0">
                  <c:v>20.2254958761</c:v>
                </c:pt>
                <c:pt idx="1">
                  <c:v>57.62802099</c:v>
                </c:pt>
                <c:pt idx="2">
                  <c:v>204.183436117</c:v>
                </c:pt>
                <c:pt idx="3">
                  <c:v>260.829543006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fuel_supply_costs.tsv!$CT$26:$CT$29</c:f>
              <c:numCache>
                <c:formatCode>General</c:formatCode>
                <c:ptCount val="4"/>
                <c:pt idx="0">
                  <c:v>16.5692743569</c:v>
                </c:pt>
                <c:pt idx="1">
                  <c:v>14.1800305146</c:v>
                </c:pt>
                <c:pt idx="2">
                  <c:v>24.2331542522</c:v>
                </c:pt>
                <c:pt idx="3">
                  <c:v>60.8693408687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fuel_supply_costs.tsv!$CU$26:$CU$29</c:f>
              <c:numCache>
                <c:formatCode>General</c:formatCode>
                <c:ptCount val="4"/>
                <c:pt idx="0">
                  <c:v>48.2348875715</c:v>
                </c:pt>
                <c:pt idx="1">
                  <c:v>44.3783276995</c:v>
                </c:pt>
                <c:pt idx="2">
                  <c:v>95.4375467661</c:v>
                </c:pt>
                <c:pt idx="3">
                  <c:v>86.33030080429999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fuel_supply_costs.tsv!$CV$26:$CV$29</c:f>
              <c:numCache>
                <c:formatCode>General</c:formatCode>
                <c:ptCount val="4"/>
                <c:pt idx="0">
                  <c:v>64.07874963659999</c:v>
                </c:pt>
                <c:pt idx="1">
                  <c:v>80.96217225940001</c:v>
                </c:pt>
                <c:pt idx="2">
                  <c:v>93.3423019403</c:v>
                </c:pt>
                <c:pt idx="3">
                  <c:v>46.8788391741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fuel_supply_costs.tsv!$CW$26:$CW$29</c:f>
              <c:numCache>
                <c:formatCode>General</c:formatCode>
                <c:ptCount val="4"/>
                <c:pt idx="0">
                  <c:v>33.2022034068</c:v>
                </c:pt>
                <c:pt idx="1">
                  <c:v>56.9945143276</c:v>
                </c:pt>
                <c:pt idx="2">
                  <c:v>124.731851313</c:v>
                </c:pt>
                <c:pt idx="3">
                  <c:v>135.671002327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fuel_supply_costs.tsv!$CX$26:$CX$29</c:f>
              <c:numCache>
                <c:formatCode>General</c:formatCode>
                <c:ptCount val="4"/>
                <c:pt idx="0">
                  <c:v>70.655736625</c:v>
                </c:pt>
                <c:pt idx="1">
                  <c:v>132.309561118</c:v>
                </c:pt>
                <c:pt idx="2">
                  <c:v>99.42555710009999</c:v>
                </c:pt>
                <c:pt idx="3">
                  <c:v>133.668104246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fuel_supply_costs.tsv!$CY$26:$CY$29</c:f>
              <c:numCache>
                <c:formatCode>General</c:formatCode>
                <c:ptCount val="4"/>
                <c:pt idx="0">
                  <c:v>13.7017403244</c:v>
                </c:pt>
                <c:pt idx="1">
                  <c:v>23.2869376162</c:v>
                </c:pt>
                <c:pt idx="2">
                  <c:v>100.098209972</c:v>
                </c:pt>
                <c:pt idx="3">
                  <c:v>138.779041207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fuel_supply_costs.tsv!$CZ$26:$CZ$29</c:f>
              <c:numCache>
                <c:formatCode>General</c:formatCode>
                <c:ptCount val="4"/>
                <c:pt idx="0">
                  <c:v>46.2895581251</c:v>
                </c:pt>
                <c:pt idx="1">
                  <c:v>31.83089197</c:v>
                </c:pt>
                <c:pt idx="2">
                  <c:v>67.7794588114</c:v>
                </c:pt>
                <c:pt idx="3">
                  <c:v>181.709003574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fuel_supply_costs.tsv!$DA$26:$DA$29</c:f>
              <c:numCache>
                <c:formatCode>General</c:formatCode>
                <c:ptCount val="4"/>
                <c:pt idx="0">
                  <c:v>22.8912669829</c:v>
                </c:pt>
                <c:pt idx="1">
                  <c:v>28.6810223671</c:v>
                </c:pt>
                <c:pt idx="2">
                  <c:v>81.9519210394</c:v>
                </c:pt>
                <c:pt idx="3">
                  <c:v>178.854225762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fuel_supply_costs.tsv!$DB$26:$DB$29</c:f>
              <c:numCache>
                <c:formatCode>General</c:formatCode>
                <c:ptCount val="4"/>
                <c:pt idx="0">
                  <c:v>19.5683773942</c:v>
                </c:pt>
                <c:pt idx="1">
                  <c:v>17.9393517203</c:v>
                </c:pt>
                <c:pt idx="2">
                  <c:v>24.4481899283</c:v>
                </c:pt>
                <c:pt idx="3">
                  <c:v>18.5989707581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fuel_supply_costs.tsv!$DC$26:$DC$29</c:f>
              <c:numCache>
                <c:formatCode>General</c:formatCode>
                <c:ptCount val="4"/>
                <c:pt idx="0">
                  <c:v>10.3660963726</c:v>
                </c:pt>
                <c:pt idx="1">
                  <c:v>6.05984697285</c:v>
                </c:pt>
                <c:pt idx="2">
                  <c:v>4.20634963493</c:v>
                </c:pt>
                <c:pt idx="3">
                  <c:v>8.88487510453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fuel_supply_costs.tsv!$DD$26:$DD$29</c:f>
              <c:numCache>
                <c:formatCode>General</c:formatCode>
                <c:ptCount val="4"/>
                <c:pt idx="0">
                  <c:v>11.3244649131</c:v>
                </c:pt>
                <c:pt idx="1">
                  <c:v>14.4620470187</c:v>
                </c:pt>
                <c:pt idx="2">
                  <c:v>26.8671049612</c:v>
                </c:pt>
                <c:pt idx="3">
                  <c:v>50.6257916159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fuel_supply_costs.tsv!$DE$26:$DE$29</c:f>
              <c:numCache>
                <c:formatCode>General</c:formatCode>
                <c:ptCount val="4"/>
                <c:pt idx="0">
                  <c:v>60.3336732229</c:v>
                </c:pt>
                <c:pt idx="1">
                  <c:v>85.1917360522</c:v>
                </c:pt>
                <c:pt idx="2">
                  <c:v>148.503107444</c:v>
                </c:pt>
                <c:pt idx="3">
                  <c:v>239.729931228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fuel_supply_costs.tsv!$DF$26:$DF$29</c:f>
              <c:numCache>
                <c:formatCode>General</c:formatCode>
                <c:ptCount val="4"/>
                <c:pt idx="0">
                  <c:v>23.5730320295</c:v>
                </c:pt>
                <c:pt idx="1">
                  <c:v>42.23871607</c:v>
                </c:pt>
                <c:pt idx="2">
                  <c:v>417.163179522</c:v>
                </c:pt>
                <c:pt idx="3">
                  <c:v>242.434051545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fuel_supply_costs.tsv!$DG$26:$DG$29</c:f>
              <c:numCache>
                <c:formatCode>General</c:formatCode>
                <c:ptCount val="4"/>
                <c:pt idx="0">
                  <c:v>36.7842513924</c:v>
                </c:pt>
                <c:pt idx="1">
                  <c:v>29.2067123829</c:v>
                </c:pt>
                <c:pt idx="2">
                  <c:v>21.908067223</c:v>
                </c:pt>
                <c:pt idx="3">
                  <c:v>39.6077482928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fuel_supply_costs.tsv!$DH$26:$DH$29</c:f>
              <c:numCache>
                <c:formatCode>General</c:formatCode>
                <c:ptCount val="4"/>
                <c:pt idx="0">
                  <c:v>12.7013127476</c:v>
                </c:pt>
                <c:pt idx="1">
                  <c:v>21.0563292891</c:v>
                </c:pt>
                <c:pt idx="2">
                  <c:v>64.7274107974</c:v>
                </c:pt>
                <c:pt idx="3">
                  <c:v>182.64547328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fuel_supply_costs.tsv!$DI$26:$DI$29</c:f>
              <c:numCache>
                <c:formatCode>General</c:formatCode>
                <c:ptCount val="4"/>
                <c:pt idx="0">
                  <c:v>42.9400246259</c:v>
                </c:pt>
                <c:pt idx="1">
                  <c:v>43.8945689472</c:v>
                </c:pt>
                <c:pt idx="2">
                  <c:v>230.273744291</c:v>
                </c:pt>
                <c:pt idx="3">
                  <c:v>279.278314099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fuel_supply_costs.tsv!$DJ$26:$DJ$29</c:f>
              <c:numCache>
                <c:formatCode>General</c:formatCode>
                <c:ptCount val="4"/>
                <c:pt idx="0">
                  <c:v>63.6854340381</c:v>
                </c:pt>
                <c:pt idx="1">
                  <c:v>140.419832429</c:v>
                </c:pt>
                <c:pt idx="2">
                  <c:v>321.640755516</c:v>
                </c:pt>
                <c:pt idx="3">
                  <c:v>861.241535076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fuel_supply_costs.tsv!$DK$26:$DK$29</c:f>
              <c:numCache>
                <c:formatCode>General</c:formatCode>
                <c:ptCount val="4"/>
                <c:pt idx="0">
                  <c:v>32.0946641655</c:v>
                </c:pt>
                <c:pt idx="1">
                  <c:v>35.0477567831</c:v>
                </c:pt>
                <c:pt idx="2">
                  <c:v>72.6878029468</c:v>
                </c:pt>
                <c:pt idx="3">
                  <c:v>59.6411591531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fuel_supply_costs.tsv!$DL$26:$DL$29</c:f>
              <c:numCache>
                <c:formatCode>General</c:formatCode>
                <c:ptCount val="4"/>
                <c:pt idx="0">
                  <c:v>27.7602504009</c:v>
                </c:pt>
                <c:pt idx="1">
                  <c:v>11.5898691389</c:v>
                </c:pt>
                <c:pt idx="2">
                  <c:v>14.7346249407</c:v>
                </c:pt>
                <c:pt idx="3">
                  <c:v>37.3592790625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fuel_supply_costs.tsv!$DM$26:$DM$29</c:f>
              <c:numCache>
                <c:formatCode>General</c:formatCode>
                <c:ptCount val="4"/>
                <c:pt idx="0">
                  <c:v>16.5461683948</c:v>
                </c:pt>
                <c:pt idx="1">
                  <c:v>24.4915903362</c:v>
                </c:pt>
                <c:pt idx="2">
                  <c:v>42.5925527768</c:v>
                </c:pt>
                <c:pt idx="3">
                  <c:v>40.3933663228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fuel_supply_costs.tsv!$DN$26:$DN$29</c:f>
              <c:numCache>
                <c:formatCode>General</c:formatCode>
                <c:ptCount val="4"/>
                <c:pt idx="0">
                  <c:v>26.5323072485</c:v>
                </c:pt>
                <c:pt idx="1">
                  <c:v>19.2786482931</c:v>
                </c:pt>
                <c:pt idx="2">
                  <c:v>5.57095681123</c:v>
                </c:pt>
                <c:pt idx="3">
                  <c:v>22.9171420331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fuel_supply_costs.tsv!$DO$26:$DO$29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478712"/>
        <c:axId val="-2135475400"/>
      </c:lineChart>
      <c:catAx>
        <c:axId val="-213547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475400"/>
        <c:crosses val="autoZero"/>
        <c:auto val="1"/>
        <c:lblAlgn val="ctr"/>
        <c:lblOffset val="100"/>
        <c:noMultiLvlLbl val="0"/>
      </c:catAx>
      <c:valAx>
        <c:axId val="-2135475400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478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LNG</a:t>
            </a:r>
          </a:p>
        </c:rich>
      </c:tx>
      <c:layout>
        <c:manualLayout>
          <c:xMode val="edge"/>
          <c:yMode val="edge"/>
          <c:x val="0.488559455491792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44147871347"/>
          <c:y val="0.127407407407407"/>
          <c:w val="0.733203256372614"/>
          <c:h val="0.773758465377013"/>
        </c:manualLayout>
      </c:layout>
      <c:lineChart>
        <c:grouping val="standard"/>
        <c:varyColors val="0"/>
        <c:ser>
          <c:idx val="1"/>
          <c:order val="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fuel_supply_costs.tsv!$D$14:$D$17</c:f>
              <c:numCache>
                <c:formatCode>General</c:formatCode>
                <c:ptCount val="4"/>
                <c:pt idx="0">
                  <c:v>6.13925709994</c:v>
                </c:pt>
                <c:pt idx="1">
                  <c:v>6.01772486018</c:v>
                </c:pt>
                <c:pt idx="2">
                  <c:v>6.00004686535</c:v>
                </c:pt>
                <c:pt idx="3">
                  <c:v>6.00003158121</c:v>
                </c:pt>
              </c:numCache>
            </c:numRef>
          </c:val>
          <c:smooth val="0"/>
        </c:ser>
        <c:ser>
          <c:idx val="2"/>
          <c:order val="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fuel_supply_costs.tsv!$E$14:$E$17</c:f>
              <c:numCache>
                <c:formatCode>General</c:formatCode>
                <c:ptCount val="4"/>
                <c:pt idx="0">
                  <c:v>10.7895883156</c:v>
                </c:pt>
                <c:pt idx="1">
                  <c:v>6.3306736509</c:v>
                </c:pt>
                <c:pt idx="2">
                  <c:v>6.71838664887</c:v>
                </c:pt>
                <c:pt idx="3">
                  <c:v>6.1806019311</c:v>
                </c:pt>
              </c:numCache>
            </c:numRef>
          </c:val>
          <c:smooth val="0"/>
        </c:ser>
        <c:ser>
          <c:idx val="3"/>
          <c:order val="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fuel_supply_costs.tsv!$F$14:$F$17</c:f>
              <c:numCache>
                <c:formatCode>General</c:formatCode>
                <c:ptCount val="4"/>
                <c:pt idx="0">
                  <c:v>13.6442628819</c:v>
                </c:pt>
                <c:pt idx="1">
                  <c:v>19.7993546546</c:v>
                </c:pt>
                <c:pt idx="2">
                  <c:v>201.616491382</c:v>
                </c:pt>
                <c:pt idx="3">
                  <c:v>193.542886293</c:v>
                </c:pt>
              </c:numCache>
            </c:numRef>
          </c:val>
          <c:smooth val="0"/>
        </c:ser>
        <c:ser>
          <c:idx val="4"/>
          <c:order val="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fuel_supply_costs.tsv!$G$14:$G$17</c:f>
              <c:numCache>
                <c:formatCode>General</c:formatCode>
                <c:ptCount val="4"/>
                <c:pt idx="0">
                  <c:v>9.55919808665</c:v>
                </c:pt>
                <c:pt idx="1">
                  <c:v>6.20445757575</c:v>
                </c:pt>
                <c:pt idx="2">
                  <c:v>6.02464338066</c:v>
                </c:pt>
                <c:pt idx="3">
                  <c:v>6.01035515158</c:v>
                </c:pt>
              </c:numCache>
            </c:numRef>
          </c:val>
          <c:smooth val="0"/>
        </c:ser>
        <c:ser>
          <c:idx val="5"/>
          <c:order val="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fuel_supply_costs.tsv!$H$14:$H$17</c:f>
              <c:numCache>
                <c:formatCode>General</c:formatCode>
                <c:ptCount val="4"/>
                <c:pt idx="0">
                  <c:v>14.0617437126</c:v>
                </c:pt>
                <c:pt idx="1">
                  <c:v>115.017695669</c:v>
                </c:pt>
                <c:pt idx="2">
                  <c:v>4935.70888631</c:v>
                </c:pt>
                <c:pt idx="3">
                  <c:v>636.064468269</c:v>
                </c:pt>
              </c:numCache>
            </c:numRef>
          </c:val>
          <c:smooth val="0"/>
        </c:ser>
        <c:ser>
          <c:idx val="6"/>
          <c:order val="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fuel_supply_costs.tsv!$I$14:$I$17</c:f>
              <c:numCache>
                <c:formatCode>General</c:formatCode>
                <c:ptCount val="4"/>
                <c:pt idx="0">
                  <c:v>12.4538828481</c:v>
                </c:pt>
                <c:pt idx="1">
                  <c:v>7.04864038302</c:v>
                </c:pt>
                <c:pt idx="2">
                  <c:v>16.6481386723</c:v>
                </c:pt>
                <c:pt idx="3">
                  <c:v>6.55563230654</c:v>
                </c:pt>
              </c:numCache>
            </c:numRef>
          </c:val>
          <c:smooth val="0"/>
        </c:ser>
        <c:ser>
          <c:idx val="7"/>
          <c:order val="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fuel_supply_costs.tsv!$J$14:$J$17</c:f>
              <c:numCache>
                <c:formatCode>General</c:formatCode>
                <c:ptCount val="4"/>
                <c:pt idx="0">
                  <c:v>8.21923416227</c:v>
                </c:pt>
                <c:pt idx="1">
                  <c:v>14.8968184926</c:v>
                </c:pt>
                <c:pt idx="2">
                  <c:v>15.385195899</c:v>
                </c:pt>
                <c:pt idx="3">
                  <c:v>13.2267088417</c:v>
                </c:pt>
              </c:numCache>
            </c:numRef>
          </c:val>
          <c:smooth val="0"/>
        </c:ser>
        <c:ser>
          <c:idx val="8"/>
          <c:order val="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fuel_supply_costs.tsv!$K$14:$K$17</c:f>
              <c:numCache>
                <c:formatCode>General</c:formatCode>
                <c:ptCount val="4"/>
                <c:pt idx="0">
                  <c:v>6.51994301786</c:v>
                </c:pt>
                <c:pt idx="1">
                  <c:v>9.74937516542</c:v>
                </c:pt>
                <c:pt idx="2">
                  <c:v>8.477291094670001</c:v>
                </c:pt>
                <c:pt idx="3">
                  <c:v>6.55997518702</c:v>
                </c:pt>
              </c:numCache>
            </c:numRef>
          </c:val>
          <c:smooth val="0"/>
        </c:ser>
        <c:ser>
          <c:idx val="9"/>
          <c:order val="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fuel_supply_costs.tsv!$L$14:$L$17</c:f>
              <c:numCache>
                <c:formatCode>General</c:formatCode>
                <c:ptCount val="4"/>
                <c:pt idx="0">
                  <c:v>12.4423219035</c:v>
                </c:pt>
                <c:pt idx="1">
                  <c:v>20.5324959866</c:v>
                </c:pt>
                <c:pt idx="2">
                  <c:v>7.74997632958</c:v>
                </c:pt>
                <c:pt idx="3">
                  <c:v>6.97621299687</c:v>
                </c:pt>
              </c:numCache>
            </c:numRef>
          </c:val>
          <c:smooth val="0"/>
        </c:ser>
        <c:ser>
          <c:idx val="10"/>
          <c:order val="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fuel_supply_costs.tsv!$M$14:$M$17</c:f>
              <c:numCache>
                <c:formatCode>General</c:formatCode>
                <c:ptCount val="4"/>
                <c:pt idx="0">
                  <c:v>7.29931142254</c:v>
                </c:pt>
                <c:pt idx="1">
                  <c:v>18.1694463085</c:v>
                </c:pt>
                <c:pt idx="2">
                  <c:v>10.1840758141</c:v>
                </c:pt>
                <c:pt idx="3">
                  <c:v>27.8067542223</c:v>
                </c:pt>
              </c:numCache>
            </c:numRef>
          </c:val>
          <c:smooth val="0"/>
        </c:ser>
        <c:ser>
          <c:idx val="11"/>
          <c:order val="1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fuel_supply_costs.tsv!$N$14:$N$17</c:f>
              <c:numCache>
                <c:formatCode>General</c:formatCode>
                <c:ptCount val="4"/>
                <c:pt idx="0">
                  <c:v>17.6901637778</c:v>
                </c:pt>
                <c:pt idx="1">
                  <c:v>8.72612698583</c:v>
                </c:pt>
                <c:pt idx="2">
                  <c:v>6.37929880947</c:v>
                </c:pt>
                <c:pt idx="3">
                  <c:v>6.13761872804</c:v>
                </c:pt>
              </c:numCache>
            </c:numRef>
          </c:val>
          <c:smooth val="0"/>
        </c:ser>
        <c:ser>
          <c:idx val="12"/>
          <c:order val="1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fuel_supply_costs.tsv!$O$14:$O$17</c:f>
              <c:numCache>
                <c:formatCode>General</c:formatCode>
                <c:ptCount val="4"/>
                <c:pt idx="0">
                  <c:v>7.92971906594</c:v>
                </c:pt>
                <c:pt idx="1">
                  <c:v>6.64684518217</c:v>
                </c:pt>
                <c:pt idx="2">
                  <c:v>6.14436720729</c:v>
                </c:pt>
                <c:pt idx="3">
                  <c:v>6.03521135339</c:v>
                </c:pt>
              </c:numCache>
            </c:numRef>
          </c:val>
          <c:smooth val="0"/>
        </c:ser>
        <c:ser>
          <c:idx val="13"/>
          <c:order val="1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fuel_supply_costs.tsv!$P$14:$P$17</c:f>
              <c:numCache>
                <c:formatCode>General</c:formatCode>
                <c:ptCount val="4"/>
                <c:pt idx="0">
                  <c:v>7.75961772404</c:v>
                </c:pt>
                <c:pt idx="1">
                  <c:v>6.17116139556</c:v>
                </c:pt>
                <c:pt idx="2">
                  <c:v>7.96905946259</c:v>
                </c:pt>
                <c:pt idx="3">
                  <c:v>59.2207982033</c:v>
                </c:pt>
              </c:numCache>
            </c:numRef>
          </c:val>
          <c:smooth val="0"/>
        </c:ser>
        <c:ser>
          <c:idx val="14"/>
          <c:order val="1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fuel_supply_costs.tsv!$Q$14:$Q$17</c:f>
              <c:numCache>
                <c:formatCode>General</c:formatCode>
                <c:ptCount val="4"/>
                <c:pt idx="0">
                  <c:v>9.50529678214</c:v>
                </c:pt>
                <c:pt idx="1">
                  <c:v>6.92118951518</c:v>
                </c:pt>
                <c:pt idx="2">
                  <c:v>6.35051694416</c:v>
                </c:pt>
                <c:pt idx="3">
                  <c:v>6.0213998929</c:v>
                </c:pt>
              </c:numCache>
            </c:numRef>
          </c:val>
          <c:smooth val="0"/>
        </c:ser>
        <c:ser>
          <c:idx val="15"/>
          <c:order val="1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fuel_supply_costs.tsv!$R$14:$R$17</c:f>
              <c:numCache>
                <c:formatCode>General</c:formatCode>
                <c:ptCount val="4"/>
                <c:pt idx="0">
                  <c:v>7.90301812395</c:v>
                </c:pt>
                <c:pt idx="1">
                  <c:v>9.71502767741</c:v>
                </c:pt>
                <c:pt idx="2">
                  <c:v>11.631692072</c:v>
                </c:pt>
                <c:pt idx="3">
                  <c:v>7.07936800175</c:v>
                </c:pt>
              </c:numCache>
            </c:numRef>
          </c:val>
          <c:smooth val="0"/>
        </c:ser>
        <c:ser>
          <c:idx val="16"/>
          <c:order val="1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fuel_supply_costs.tsv!$S$14:$S$17</c:f>
              <c:numCache>
                <c:formatCode>General</c:formatCode>
                <c:ptCount val="4"/>
                <c:pt idx="0">
                  <c:v>12.4154164908</c:v>
                </c:pt>
                <c:pt idx="1">
                  <c:v>12.9269736987</c:v>
                </c:pt>
                <c:pt idx="2">
                  <c:v>9.99297012884</c:v>
                </c:pt>
                <c:pt idx="3">
                  <c:v>16.7006168355</c:v>
                </c:pt>
              </c:numCache>
            </c:numRef>
          </c:val>
          <c:smooth val="0"/>
        </c:ser>
        <c:ser>
          <c:idx val="17"/>
          <c:order val="1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fuel_supply_costs.tsv!$T$14:$T$17</c:f>
              <c:numCache>
                <c:formatCode>General</c:formatCode>
                <c:ptCount val="4"/>
                <c:pt idx="0">
                  <c:v>16.0720506222</c:v>
                </c:pt>
                <c:pt idx="1">
                  <c:v>16.977858417</c:v>
                </c:pt>
                <c:pt idx="2">
                  <c:v>163.085063243</c:v>
                </c:pt>
                <c:pt idx="3">
                  <c:v>334.39718064</c:v>
                </c:pt>
              </c:numCache>
            </c:numRef>
          </c:val>
          <c:smooth val="0"/>
        </c:ser>
        <c:ser>
          <c:idx val="18"/>
          <c:order val="1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fuel_supply_costs.tsv!$U$14:$U$17</c:f>
              <c:numCache>
                <c:formatCode>General</c:formatCode>
                <c:ptCount val="4"/>
                <c:pt idx="0">
                  <c:v>15.0157397905</c:v>
                </c:pt>
                <c:pt idx="1">
                  <c:v>7.52661937561</c:v>
                </c:pt>
                <c:pt idx="2">
                  <c:v>14.5121581039</c:v>
                </c:pt>
                <c:pt idx="3">
                  <c:v>149.678163568</c:v>
                </c:pt>
              </c:numCache>
            </c:numRef>
          </c:val>
          <c:smooth val="0"/>
        </c:ser>
        <c:ser>
          <c:idx val="19"/>
          <c:order val="1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fuel_supply_costs.tsv!$V$14:$V$17</c:f>
              <c:numCache>
                <c:formatCode>General</c:formatCode>
                <c:ptCount val="4"/>
                <c:pt idx="0">
                  <c:v>44.8860611888</c:v>
                </c:pt>
                <c:pt idx="1">
                  <c:v>174.978164116</c:v>
                </c:pt>
                <c:pt idx="2">
                  <c:v>115.035225093</c:v>
                </c:pt>
                <c:pt idx="3">
                  <c:v>335.472496088</c:v>
                </c:pt>
              </c:numCache>
            </c:numRef>
          </c:val>
          <c:smooth val="0"/>
        </c:ser>
        <c:ser>
          <c:idx val="20"/>
          <c:order val="1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fuel_supply_costs.tsv!$W$14:$W$17</c:f>
              <c:numCache>
                <c:formatCode>General</c:formatCode>
                <c:ptCount val="4"/>
                <c:pt idx="0">
                  <c:v>24.2653987218</c:v>
                </c:pt>
                <c:pt idx="1">
                  <c:v>370.575135616</c:v>
                </c:pt>
                <c:pt idx="2">
                  <c:v>128.221927426</c:v>
                </c:pt>
                <c:pt idx="3">
                  <c:v>64.570554501</c:v>
                </c:pt>
              </c:numCache>
            </c:numRef>
          </c:val>
          <c:smooth val="0"/>
        </c:ser>
        <c:ser>
          <c:idx val="21"/>
          <c:order val="2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fuel_supply_costs.tsv!$X$14:$X$17</c:f>
              <c:numCache>
                <c:formatCode>General</c:formatCode>
                <c:ptCount val="4"/>
                <c:pt idx="0">
                  <c:v>8.81038754573</c:v>
                </c:pt>
                <c:pt idx="1">
                  <c:v>7.74281263437</c:v>
                </c:pt>
                <c:pt idx="2">
                  <c:v>6.33763078629</c:v>
                </c:pt>
                <c:pt idx="3">
                  <c:v>10.6572940235</c:v>
                </c:pt>
              </c:numCache>
            </c:numRef>
          </c:val>
          <c:smooth val="0"/>
        </c:ser>
        <c:ser>
          <c:idx val="22"/>
          <c:order val="2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fuel_supply_costs.tsv!$Y$14:$Y$17</c:f>
              <c:numCache>
                <c:formatCode>General</c:formatCode>
                <c:ptCount val="4"/>
                <c:pt idx="0">
                  <c:v>8.03141530351</c:v>
                </c:pt>
                <c:pt idx="1">
                  <c:v>7.67660028941</c:v>
                </c:pt>
                <c:pt idx="2">
                  <c:v>10.9849754785</c:v>
                </c:pt>
                <c:pt idx="3">
                  <c:v>16.7469050461</c:v>
                </c:pt>
              </c:numCache>
            </c:numRef>
          </c:val>
          <c:smooth val="0"/>
        </c:ser>
        <c:ser>
          <c:idx val="23"/>
          <c:order val="2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fuel_supply_costs.tsv!$Z$14:$Z$17</c:f>
              <c:numCache>
                <c:formatCode>General</c:formatCode>
                <c:ptCount val="4"/>
                <c:pt idx="0">
                  <c:v>7.23949687855</c:v>
                </c:pt>
                <c:pt idx="1">
                  <c:v>8.40020538094</c:v>
                </c:pt>
                <c:pt idx="2">
                  <c:v>6.59766373558</c:v>
                </c:pt>
                <c:pt idx="3">
                  <c:v>6.78396563239</c:v>
                </c:pt>
              </c:numCache>
            </c:numRef>
          </c:val>
          <c:smooth val="0"/>
        </c:ser>
        <c:ser>
          <c:idx val="24"/>
          <c:order val="2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fuel_supply_costs.tsv!$AA$14:$AA$17</c:f>
              <c:numCache>
                <c:formatCode>General</c:formatCode>
                <c:ptCount val="4"/>
                <c:pt idx="0">
                  <c:v>33.0239328308</c:v>
                </c:pt>
                <c:pt idx="1">
                  <c:v>146.367293181</c:v>
                </c:pt>
                <c:pt idx="2">
                  <c:v>25.2867698709</c:v>
                </c:pt>
                <c:pt idx="3">
                  <c:v>7.27148925482</c:v>
                </c:pt>
              </c:numCache>
            </c:numRef>
          </c:val>
          <c:smooth val="0"/>
        </c:ser>
        <c:ser>
          <c:idx val="25"/>
          <c:order val="2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fuel_supply_costs.tsv!$AB$14:$AB$17</c:f>
              <c:numCache>
                <c:formatCode>General</c:formatCode>
                <c:ptCount val="4"/>
                <c:pt idx="0">
                  <c:v>37.3483617188</c:v>
                </c:pt>
                <c:pt idx="1">
                  <c:v>59.1397828505</c:v>
                </c:pt>
                <c:pt idx="2">
                  <c:v>697.399102156</c:v>
                </c:pt>
                <c:pt idx="3">
                  <c:v>1790.54621763</c:v>
                </c:pt>
              </c:numCache>
            </c:numRef>
          </c:val>
          <c:smooth val="0"/>
        </c:ser>
        <c:ser>
          <c:idx val="26"/>
          <c:order val="2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fuel_supply_costs.tsv!$AC$14:$AC$17</c:f>
              <c:numCache>
                <c:formatCode>General</c:formatCode>
                <c:ptCount val="4"/>
                <c:pt idx="0">
                  <c:v>6.47915970087</c:v>
                </c:pt>
                <c:pt idx="1">
                  <c:v>6.10250370463</c:v>
                </c:pt>
                <c:pt idx="2">
                  <c:v>6.24130796634</c:v>
                </c:pt>
                <c:pt idx="3">
                  <c:v>6.0300914713</c:v>
                </c:pt>
              </c:numCache>
            </c:numRef>
          </c:val>
          <c:smooth val="0"/>
        </c:ser>
        <c:ser>
          <c:idx val="27"/>
          <c:order val="2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fuel_supply_costs.tsv!$AD$14:$AD$17</c:f>
              <c:numCache>
                <c:formatCode>General</c:formatCode>
                <c:ptCount val="4"/>
                <c:pt idx="0">
                  <c:v>6.49265328509</c:v>
                </c:pt>
                <c:pt idx="1">
                  <c:v>6.09231264496</c:v>
                </c:pt>
                <c:pt idx="2">
                  <c:v>6.27953167009</c:v>
                </c:pt>
                <c:pt idx="3">
                  <c:v>8.036748684180001</c:v>
                </c:pt>
              </c:numCache>
            </c:numRef>
          </c:val>
          <c:smooth val="0"/>
        </c:ser>
        <c:ser>
          <c:idx val="28"/>
          <c:order val="2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fuel_supply_costs.tsv!$AE$14:$AE$17</c:f>
              <c:numCache>
                <c:formatCode>General</c:formatCode>
                <c:ptCount val="4"/>
                <c:pt idx="0">
                  <c:v>6.79984560159</c:v>
                </c:pt>
                <c:pt idx="1">
                  <c:v>6.13549948214</c:v>
                </c:pt>
                <c:pt idx="2">
                  <c:v>6.06053273936</c:v>
                </c:pt>
                <c:pt idx="3">
                  <c:v>6.11135693443</c:v>
                </c:pt>
              </c:numCache>
            </c:numRef>
          </c:val>
          <c:smooth val="0"/>
        </c:ser>
        <c:ser>
          <c:idx val="29"/>
          <c:order val="2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fuel_supply_costs.tsv!$AF$14:$AF$17</c:f>
              <c:numCache>
                <c:formatCode>General</c:formatCode>
                <c:ptCount val="4"/>
                <c:pt idx="0">
                  <c:v>6.65137166009</c:v>
                </c:pt>
                <c:pt idx="1">
                  <c:v>7.1654838627</c:v>
                </c:pt>
                <c:pt idx="2">
                  <c:v>8.32570567317</c:v>
                </c:pt>
                <c:pt idx="3">
                  <c:v>9.25071872356</c:v>
                </c:pt>
              </c:numCache>
            </c:numRef>
          </c:val>
          <c:smooth val="0"/>
        </c:ser>
        <c:ser>
          <c:idx val="30"/>
          <c:order val="2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fuel_supply_costs.tsv!$AG$14:$AG$17</c:f>
              <c:numCache>
                <c:formatCode>General</c:formatCode>
                <c:ptCount val="4"/>
                <c:pt idx="0">
                  <c:v>10.4186664485</c:v>
                </c:pt>
                <c:pt idx="1">
                  <c:v>9.85446990369</c:v>
                </c:pt>
                <c:pt idx="2">
                  <c:v>12.4141279922</c:v>
                </c:pt>
                <c:pt idx="3">
                  <c:v>47.6201770158</c:v>
                </c:pt>
              </c:numCache>
            </c:numRef>
          </c:val>
          <c:smooth val="0"/>
        </c:ser>
        <c:ser>
          <c:idx val="31"/>
          <c:order val="3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fuel_supply_costs.tsv!$AH$14:$AH$17</c:f>
              <c:numCache>
                <c:formatCode>General</c:formatCode>
                <c:ptCount val="4"/>
                <c:pt idx="0">
                  <c:v>15.3606777685</c:v>
                </c:pt>
                <c:pt idx="1">
                  <c:v>156.449802667</c:v>
                </c:pt>
                <c:pt idx="2">
                  <c:v>2320.45654456</c:v>
                </c:pt>
                <c:pt idx="3">
                  <c:v>704.530376923</c:v>
                </c:pt>
              </c:numCache>
            </c:numRef>
          </c:val>
          <c:smooth val="0"/>
        </c:ser>
        <c:ser>
          <c:idx val="32"/>
          <c:order val="3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fuel_supply_costs.tsv!$AI$14:$AI$17</c:f>
              <c:numCache>
                <c:formatCode>General</c:formatCode>
                <c:ptCount val="4"/>
                <c:pt idx="0">
                  <c:v>69.8832406105</c:v>
                </c:pt>
                <c:pt idx="1">
                  <c:v>39.5976010765</c:v>
                </c:pt>
                <c:pt idx="2">
                  <c:v>118.946291987</c:v>
                </c:pt>
                <c:pt idx="3">
                  <c:v>196.229448932</c:v>
                </c:pt>
              </c:numCache>
            </c:numRef>
          </c:val>
          <c:smooth val="0"/>
        </c:ser>
        <c:ser>
          <c:idx val="33"/>
          <c:order val="3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fuel_supply_costs.tsv!$AJ$14:$AJ$17</c:f>
              <c:numCache>
                <c:formatCode>General</c:formatCode>
                <c:ptCount val="4"/>
                <c:pt idx="0">
                  <c:v>7.41487951089</c:v>
                </c:pt>
                <c:pt idx="1">
                  <c:v>9.24916676684</c:v>
                </c:pt>
                <c:pt idx="2">
                  <c:v>7.88365787987</c:v>
                </c:pt>
                <c:pt idx="3">
                  <c:v>6.89983832126</c:v>
                </c:pt>
              </c:numCache>
            </c:numRef>
          </c:val>
          <c:smooth val="0"/>
        </c:ser>
        <c:ser>
          <c:idx val="34"/>
          <c:order val="3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fuel_supply_costs.tsv!$AK$14:$AK$17</c:f>
              <c:numCache>
                <c:formatCode>General</c:formatCode>
                <c:ptCount val="4"/>
                <c:pt idx="0">
                  <c:v>6.60546432642</c:v>
                </c:pt>
                <c:pt idx="1">
                  <c:v>6.3321736759</c:v>
                </c:pt>
                <c:pt idx="2">
                  <c:v>6.93108315444</c:v>
                </c:pt>
                <c:pt idx="3">
                  <c:v>6.22984533991</c:v>
                </c:pt>
              </c:numCache>
            </c:numRef>
          </c:val>
          <c:smooth val="0"/>
        </c:ser>
        <c:ser>
          <c:idx val="35"/>
          <c:order val="3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fuel_supply_costs.tsv!$AL$14:$AL$17</c:f>
              <c:numCache>
                <c:formatCode>General</c:formatCode>
                <c:ptCount val="4"/>
                <c:pt idx="0">
                  <c:v>8.47574421697</c:v>
                </c:pt>
                <c:pt idx="1">
                  <c:v>7.52511618078</c:v>
                </c:pt>
                <c:pt idx="2">
                  <c:v>6.42361769951</c:v>
                </c:pt>
                <c:pt idx="3">
                  <c:v>6.0822079725</c:v>
                </c:pt>
              </c:numCache>
            </c:numRef>
          </c:val>
          <c:smooth val="0"/>
        </c:ser>
        <c:ser>
          <c:idx val="36"/>
          <c:order val="3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fuel_supply_costs.tsv!$AM$14:$AM$17</c:f>
              <c:numCache>
                <c:formatCode>General</c:formatCode>
                <c:ptCount val="4"/>
                <c:pt idx="0">
                  <c:v>6.60904638258</c:v>
                </c:pt>
                <c:pt idx="1">
                  <c:v>6.11316851359</c:v>
                </c:pt>
                <c:pt idx="2">
                  <c:v>6.21427915683</c:v>
                </c:pt>
                <c:pt idx="3">
                  <c:v>6.10983210871</c:v>
                </c:pt>
              </c:numCache>
            </c:numRef>
          </c:val>
          <c:smooth val="0"/>
        </c:ser>
        <c:ser>
          <c:idx val="37"/>
          <c:order val="3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fuel_supply_costs.tsv!$AN$14:$AN$17</c:f>
              <c:numCache>
                <c:formatCode>General</c:formatCode>
                <c:ptCount val="4"/>
                <c:pt idx="0">
                  <c:v>11.931973144</c:v>
                </c:pt>
                <c:pt idx="1">
                  <c:v>51.8931963573</c:v>
                </c:pt>
                <c:pt idx="2">
                  <c:v>55.7712056966</c:v>
                </c:pt>
                <c:pt idx="3">
                  <c:v>308.956942242</c:v>
                </c:pt>
              </c:numCache>
            </c:numRef>
          </c:val>
          <c:smooth val="0"/>
        </c:ser>
        <c:ser>
          <c:idx val="38"/>
          <c:order val="3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fuel_supply_costs.tsv!$AO$14:$AO$17</c:f>
              <c:numCache>
                <c:formatCode>General</c:formatCode>
                <c:ptCount val="4"/>
                <c:pt idx="0">
                  <c:v>8.85836182269</c:v>
                </c:pt>
                <c:pt idx="1">
                  <c:v>25.1726365547</c:v>
                </c:pt>
                <c:pt idx="2">
                  <c:v>731.770914741</c:v>
                </c:pt>
                <c:pt idx="3">
                  <c:v>902.018473695</c:v>
                </c:pt>
              </c:numCache>
            </c:numRef>
          </c:val>
          <c:smooth val="0"/>
        </c:ser>
        <c:ser>
          <c:idx val="39"/>
          <c:order val="3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fuel_supply_costs.tsv!$AP$14:$AP$17</c:f>
              <c:numCache>
                <c:formatCode>General</c:formatCode>
                <c:ptCount val="4"/>
                <c:pt idx="0">
                  <c:v>6.53943790603</c:v>
                </c:pt>
                <c:pt idx="1">
                  <c:v>11.4166306375</c:v>
                </c:pt>
                <c:pt idx="2">
                  <c:v>23.5880789834</c:v>
                </c:pt>
                <c:pt idx="3">
                  <c:v>17.3109054195</c:v>
                </c:pt>
              </c:numCache>
            </c:numRef>
          </c:val>
          <c:smooth val="0"/>
        </c:ser>
        <c:ser>
          <c:idx val="40"/>
          <c:order val="3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fuel_supply_costs.tsv!$AQ$14:$AQ$17</c:f>
              <c:numCache>
                <c:formatCode>General</c:formatCode>
                <c:ptCount val="4"/>
                <c:pt idx="0">
                  <c:v>9.94858442442</c:v>
                </c:pt>
                <c:pt idx="1">
                  <c:v>6.96900790242</c:v>
                </c:pt>
                <c:pt idx="2">
                  <c:v>6.32034119181</c:v>
                </c:pt>
                <c:pt idx="3">
                  <c:v>6.43794471526</c:v>
                </c:pt>
              </c:numCache>
            </c:numRef>
          </c:val>
          <c:smooth val="0"/>
        </c:ser>
        <c:ser>
          <c:idx val="41"/>
          <c:order val="4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fuel_supply_costs.tsv!$AR$14:$AR$17</c:f>
              <c:numCache>
                <c:formatCode>General</c:formatCode>
                <c:ptCount val="4"/>
                <c:pt idx="0">
                  <c:v>6.49214349379</c:v>
                </c:pt>
                <c:pt idx="1">
                  <c:v>10.619662415</c:v>
                </c:pt>
                <c:pt idx="2">
                  <c:v>7.27633727532</c:v>
                </c:pt>
                <c:pt idx="3">
                  <c:v>8.01160731251</c:v>
                </c:pt>
              </c:numCache>
            </c:numRef>
          </c:val>
          <c:smooth val="0"/>
        </c:ser>
        <c:ser>
          <c:idx val="42"/>
          <c:order val="4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fuel_supply_costs.tsv!$AS$14:$AS$17</c:f>
              <c:numCache>
                <c:formatCode>General</c:formatCode>
                <c:ptCount val="4"/>
                <c:pt idx="0">
                  <c:v>6.56981438429</c:v>
                </c:pt>
                <c:pt idx="1">
                  <c:v>8.76670651163</c:v>
                </c:pt>
                <c:pt idx="2">
                  <c:v>9.70653043313</c:v>
                </c:pt>
                <c:pt idx="3">
                  <c:v>8.54647644107</c:v>
                </c:pt>
              </c:numCache>
            </c:numRef>
          </c:val>
          <c:smooth val="0"/>
        </c:ser>
        <c:ser>
          <c:idx val="43"/>
          <c:order val="4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fuel_supply_costs.tsv!$AT$14:$AT$17</c:f>
              <c:numCache>
                <c:formatCode>General</c:formatCode>
                <c:ptCount val="4"/>
                <c:pt idx="0">
                  <c:v>6.32198604159</c:v>
                </c:pt>
                <c:pt idx="1">
                  <c:v>6.31578039165</c:v>
                </c:pt>
                <c:pt idx="2">
                  <c:v>6.95898533037</c:v>
                </c:pt>
                <c:pt idx="3">
                  <c:v>6.27096455933</c:v>
                </c:pt>
              </c:numCache>
            </c:numRef>
          </c:val>
          <c:smooth val="0"/>
        </c:ser>
        <c:ser>
          <c:idx val="44"/>
          <c:order val="4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fuel_supply_costs.tsv!$AU$14:$AU$17</c:f>
              <c:numCache>
                <c:formatCode>General</c:formatCode>
                <c:ptCount val="4"/>
                <c:pt idx="0">
                  <c:v>14.5152998127</c:v>
                </c:pt>
                <c:pt idx="1">
                  <c:v>223.928426122</c:v>
                </c:pt>
                <c:pt idx="2">
                  <c:v>154.324124154</c:v>
                </c:pt>
                <c:pt idx="3">
                  <c:v>101.855145353</c:v>
                </c:pt>
              </c:numCache>
            </c:numRef>
          </c:val>
          <c:smooth val="0"/>
        </c:ser>
        <c:ser>
          <c:idx val="45"/>
          <c:order val="4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fuel_supply_costs.tsv!$AV$14:$AV$17</c:f>
              <c:numCache>
                <c:formatCode>General</c:formatCode>
                <c:ptCount val="4"/>
                <c:pt idx="0">
                  <c:v>6.35319729667</c:v>
                </c:pt>
                <c:pt idx="1">
                  <c:v>6.27430190052</c:v>
                </c:pt>
                <c:pt idx="2">
                  <c:v>6.25914695085</c:v>
                </c:pt>
                <c:pt idx="3">
                  <c:v>6.23238547996</c:v>
                </c:pt>
              </c:numCache>
            </c:numRef>
          </c:val>
          <c:smooth val="0"/>
        </c:ser>
        <c:ser>
          <c:idx val="46"/>
          <c:order val="4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fuel_supply_costs.tsv!$AW$14:$AW$17</c:f>
              <c:numCache>
                <c:formatCode>General</c:formatCode>
                <c:ptCount val="4"/>
                <c:pt idx="0">
                  <c:v>68.5893107813</c:v>
                </c:pt>
                <c:pt idx="1">
                  <c:v>193.371844196</c:v>
                </c:pt>
                <c:pt idx="2">
                  <c:v>76.9953442077</c:v>
                </c:pt>
                <c:pt idx="3">
                  <c:v>61.6963803275</c:v>
                </c:pt>
              </c:numCache>
            </c:numRef>
          </c:val>
          <c:smooth val="0"/>
        </c:ser>
        <c:ser>
          <c:idx val="47"/>
          <c:order val="4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fuel_supply_costs.tsv!$AX$14:$AX$17</c:f>
              <c:numCache>
                <c:formatCode>General</c:formatCode>
                <c:ptCount val="4"/>
                <c:pt idx="0">
                  <c:v>6.59407225687</c:v>
                </c:pt>
                <c:pt idx="1">
                  <c:v>7.86901839869</c:v>
                </c:pt>
                <c:pt idx="2">
                  <c:v>6.06102391905</c:v>
                </c:pt>
                <c:pt idx="3">
                  <c:v>6.04800010463</c:v>
                </c:pt>
              </c:numCache>
            </c:numRef>
          </c:val>
          <c:smooth val="0"/>
        </c:ser>
        <c:ser>
          <c:idx val="48"/>
          <c:order val="4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fuel_supply_costs.tsv!$AY$14:$AY$17</c:f>
              <c:numCache>
                <c:formatCode>General</c:formatCode>
                <c:ptCount val="4"/>
                <c:pt idx="0">
                  <c:v>6.77688386759</c:v>
                </c:pt>
                <c:pt idx="1">
                  <c:v>6.6912766949</c:v>
                </c:pt>
                <c:pt idx="2">
                  <c:v>6.14978939473</c:v>
                </c:pt>
                <c:pt idx="3">
                  <c:v>6.00124351093</c:v>
                </c:pt>
              </c:numCache>
            </c:numRef>
          </c:val>
          <c:smooth val="0"/>
        </c:ser>
        <c:ser>
          <c:idx val="49"/>
          <c:order val="4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fuel_supply_costs.tsv!$AZ$14:$AZ$17</c:f>
              <c:numCache>
                <c:formatCode>General</c:formatCode>
                <c:ptCount val="4"/>
                <c:pt idx="0">
                  <c:v>16.1777610925</c:v>
                </c:pt>
                <c:pt idx="1">
                  <c:v>9.43501876924</c:v>
                </c:pt>
                <c:pt idx="2">
                  <c:v>6.3814374082</c:v>
                </c:pt>
                <c:pt idx="3">
                  <c:v>6.2720742915</c:v>
                </c:pt>
              </c:numCache>
            </c:numRef>
          </c:val>
          <c:smooth val="0"/>
        </c:ser>
        <c:ser>
          <c:idx val="50"/>
          <c:order val="4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fuel_supply_costs.tsv!$BA$14:$BA$17</c:f>
              <c:numCache>
                <c:formatCode>General</c:formatCode>
                <c:ptCount val="4"/>
                <c:pt idx="0">
                  <c:v>24.4838775866</c:v>
                </c:pt>
                <c:pt idx="1">
                  <c:v>106.188096141</c:v>
                </c:pt>
                <c:pt idx="2">
                  <c:v>170.720618771</c:v>
                </c:pt>
                <c:pt idx="3">
                  <c:v>376.919086439</c:v>
                </c:pt>
              </c:numCache>
            </c:numRef>
          </c:val>
          <c:smooth val="0"/>
        </c:ser>
        <c:ser>
          <c:idx val="51"/>
          <c:order val="5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fuel_supply_costs.tsv!$BB$14:$BB$17</c:f>
              <c:numCache>
                <c:formatCode>General</c:formatCode>
                <c:ptCount val="4"/>
                <c:pt idx="0">
                  <c:v>9.867827381130001</c:v>
                </c:pt>
                <c:pt idx="1">
                  <c:v>11.6946606523</c:v>
                </c:pt>
                <c:pt idx="2">
                  <c:v>6.85262322109</c:v>
                </c:pt>
                <c:pt idx="3">
                  <c:v>39.5847512664</c:v>
                </c:pt>
              </c:numCache>
            </c:numRef>
          </c:val>
          <c:smooth val="0"/>
        </c:ser>
        <c:ser>
          <c:idx val="52"/>
          <c:order val="5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fuel_supply_costs.tsv!$BC$14:$BC$17</c:f>
              <c:numCache>
                <c:formatCode>General</c:formatCode>
                <c:ptCount val="4"/>
                <c:pt idx="0">
                  <c:v>13.242631208</c:v>
                </c:pt>
                <c:pt idx="1">
                  <c:v>16.9022241571</c:v>
                </c:pt>
                <c:pt idx="2">
                  <c:v>6.82338543524</c:v>
                </c:pt>
                <c:pt idx="3">
                  <c:v>6.29600379538</c:v>
                </c:pt>
              </c:numCache>
            </c:numRef>
          </c:val>
          <c:smooth val="0"/>
        </c:ser>
        <c:ser>
          <c:idx val="53"/>
          <c:order val="5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fuel_supply_costs.tsv!$BD$14:$BD$17</c:f>
              <c:numCache>
                <c:formatCode>General</c:formatCode>
                <c:ptCount val="4"/>
                <c:pt idx="0">
                  <c:v>12.8926027536</c:v>
                </c:pt>
                <c:pt idx="1">
                  <c:v>40.1550124925</c:v>
                </c:pt>
                <c:pt idx="2">
                  <c:v>14.841672594</c:v>
                </c:pt>
                <c:pt idx="3">
                  <c:v>9.87052275291</c:v>
                </c:pt>
              </c:numCache>
            </c:numRef>
          </c:val>
          <c:smooth val="0"/>
        </c:ser>
        <c:ser>
          <c:idx val="54"/>
          <c:order val="5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fuel_supply_costs.tsv!$BE$14:$BE$17</c:f>
              <c:numCache>
                <c:formatCode>General</c:formatCode>
                <c:ptCount val="4"/>
                <c:pt idx="0">
                  <c:v>6.85215870324</c:v>
                </c:pt>
                <c:pt idx="1">
                  <c:v>12.9079353326</c:v>
                </c:pt>
                <c:pt idx="2">
                  <c:v>10.3652724459</c:v>
                </c:pt>
                <c:pt idx="3">
                  <c:v>9.65026898813</c:v>
                </c:pt>
              </c:numCache>
            </c:numRef>
          </c:val>
          <c:smooth val="0"/>
        </c:ser>
        <c:ser>
          <c:idx val="55"/>
          <c:order val="5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fuel_supply_costs.tsv!$BF$14:$BF$17</c:f>
              <c:numCache>
                <c:formatCode>General</c:formatCode>
                <c:ptCount val="4"/>
                <c:pt idx="0">
                  <c:v>6.16231690896</c:v>
                </c:pt>
                <c:pt idx="1">
                  <c:v>6.0861658954</c:v>
                </c:pt>
                <c:pt idx="2">
                  <c:v>6.06361917215</c:v>
                </c:pt>
                <c:pt idx="3">
                  <c:v>6.19399758797</c:v>
                </c:pt>
              </c:numCache>
            </c:numRef>
          </c:val>
          <c:smooth val="0"/>
        </c:ser>
        <c:ser>
          <c:idx val="56"/>
          <c:order val="5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fuel_supply_costs.tsv!$BG$14:$BG$17</c:f>
              <c:numCache>
                <c:formatCode>General</c:formatCode>
                <c:ptCount val="4"/>
                <c:pt idx="0">
                  <c:v>7.16147501519</c:v>
                </c:pt>
                <c:pt idx="1">
                  <c:v>6.07181573168</c:v>
                </c:pt>
                <c:pt idx="2">
                  <c:v>6.20083920802</c:v>
                </c:pt>
                <c:pt idx="3">
                  <c:v>6.08630474699</c:v>
                </c:pt>
              </c:numCache>
            </c:numRef>
          </c:val>
          <c:smooth val="0"/>
        </c:ser>
        <c:ser>
          <c:idx val="57"/>
          <c:order val="5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fuel_supply_costs.tsv!$BH$14:$BH$17</c:f>
              <c:numCache>
                <c:formatCode>General</c:formatCode>
                <c:ptCount val="4"/>
                <c:pt idx="0">
                  <c:v>14.4854762405</c:v>
                </c:pt>
                <c:pt idx="1">
                  <c:v>10.1253393117</c:v>
                </c:pt>
                <c:pt idx="2">
                  <c:v>6.03053480333</c:v>
                </c:pt>
                <c:pt idx="3">
                  <c:v>6.18876833706</c:v>
                </c:pt>
              </c:numCache>
            </c:numRef>
          </c:val>
          <c:smooth val="0"/>
        </c:ser>
        <c:ser>
          <c:idx val="58"/>
          <c:order val="5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fuel_supply_costs.tsv!$BI$14:$BI$17</c:f>
              <c:numCache>
                <c:formatCode>General</c:formatCode>
                <c:ptCount val="4"/>
                <c:pt idx="0">
                  <c:v>19.8605913879</c:v>
                </c:pt>
                <c:pt idx="1">
                  <c:v>113.418563993</c:v>
                </c:pt>
                <c:pt idx="2">
                  <c:v>33.7519400858</c:v>
                </c:pt>
                <c:pt idx="3">
                  <c:v>24.8381737726</c:v>
                </c:pt>
              </c:numCache>
            </c:numRef>
          </c:val>
          <c:smooth val="0"/>
        </c:ser>
        <c:ser>
          <c:idx val="59"/>
          <c:order val="5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fuel_supply_costs.tsv!$BJ$14:$BJ$17</c:f>
              <c:numCache>
                <c:formatCode>General</c:formatCode>
                <c:ptCount val="4"/>
                <c:pt idx="0">
                  <c:v>9.82259629661</c:v>
                </c:pt>
                <c:pt idx="1">
                  <c:v>6.53849432974</c:v>
                </c:pt>
                <c:pt idx="2">
                  <c:v>6.369042657</c:v>
                </c:pt>
                <c:pt idx="3">
                  <c:v>6.43088846924</c:v>
                </c:pt>
              </c:numCache>
            </c:numRef>
          </c:val>
          <c:smooth val="0"/>
        </c:ser>
        <c:ser>
          <c:idx val="60"/>
          <c:order val="5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fuel_supply_costs.tsv!$BK$14:$BK$17</c:f>
              <c:numCache>
                <c:formatCode>General</c:formatCode>
                <c:ptCount val="4"/>
                <c:pt idx="0">
                  <c:v>6.8174174048</c:v>
                </c:pt>
                <c:pt idx="1">
                  <c:v>7.28047268073</c:v>
                </c:pt>
                <c:pt idx="2">
                  <c:v>7.01588390366</c:v>
                </c:pt>
                <c:pt idx="3">
                  <c:v>6.41347768752</c:v>
                </c:pt>
              </c:numCache>
            </c:numRef>
          </c:val>
          <c:smooth val="0"/>
        </c:ser>
        <c:ser>
          <c:idx val="61"/>
          <c:order val="6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fuel_supply_costs.tsv!$BL$14:$BL$17</c:f>
              <c:numCache>
                <c:formatCode>General</c:formatCode>
                <c:ptCount val="4"/>
                <c:pt idx="0">
                  <c:v>15.0623225825</c:v>
                </c:pt>
                <c:pt idx="1">
                  <c:v>18.0362156665</c:v>
                </c:pt>
                <c:pt idx="2">
                  <c:v>21.4579040623</c:v>
                </c:pt>
                <c:pt idx="3">
                  <c:v>7.63435160937</c:v>
                </c:pt>
              </c:numCache>
            </c:numRef>
          </c:val>
          <c:smooth val="0"/>
        </c:ser>
        <c:ser>
          <c:idx val="62"/>
          <c:order val="6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fuel_supply_costs.tsv!$BM$14:$BM$17</c:f>
              <c:numCache>
                <c:formatCode>General</c:formatCode>
                <c:ptCount val="4"/>
                <c:pt idx="0">
                  <c:v>6.74418924942</c:v>
                </c:pt>
                <c:pt idx="1">
                  <c:v>6.46644624073</c:v>
                </c:pt>
                <c:pt idx="2">
                  <c:v>6.06862547474</c:v>
                </c:pt>
                <c:pt idx="3">
                  <c:v>6.01406778885</c:v>
                </c:pt>
              </c:numCache>
            </c:numRef>
          </c:val>
          <c:smooth val="0"/>
        </c:ser>
        <c:ser>
          <c:idx val="63"/>
          <c:order val="6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fuel_supply_costs.tsv!$BN$14:$BN$17</c:f>
              <c:numCache>
                <c:formatCode>General</c:formatCode>
                <c:ptCount val="4"/>
                <c:pt idx="0">
                  <c:v>12.1235329863</c:v>
                </c:pt>
                <c:pt idx="1">
                  <c:v>21.5380681343</c:v>
                </c:pt>
                <c:pt idx="2">
                  <c:v>13.7866487985</c:v>
                </c:pt>
                <c:pt idx="3">
                  <c:v>12.5351708609</c:v>
                </c:pt>
              </c:numCache>
            </c:numRef>
          </c:val>
          <c:smooth val="0"/>
        </c:ser>
        <c:ser>
          <c:idx val="64"/>
          <c:order val="6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fuel_supply_costs.tsv!$BO$14:$BO$17</c:f>
              <c:numCache>
                <c:formatCode>General</c:formatCode>
                <c:ptCount val="4"/>
                <c:pt idx="0">
                  <c:v>17.9413868664</c:v>
                </c:pt>
                <c:pt idx="1">
                  <c:v>15.8677453643</c:v>
                </c:pt>
                <c:pt idx="2">
                  <c:v>20.8089488057</c:v>
                </c:pt>
                <c:pt idx="3">
                  <c:v>192.974118126</c:v>
                </c:pt>
              </c:numCache>
            </c:numRef>
          </c:val>
          <c:smooth val="0"/>
        </c:ser>
        <c:ser>
          <c:idx val="65"/>
          <c:order val="6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fuel_supply_costs.tsv!$BP$14:$BP$17</c:f>
              <c:numCache>
                <c:formatCode>General</c:formatCode>
                <c:ptCount val="4"/>
                <c:pt idx="0">
                  <c:v>6.26299904375</c:v>
                </c:pt>
                <c:pt idx="1">
                  <c:v>9.19613561978</c:v>
                </c:pt>
                <c:pt idx="2">
                  <c:v>7.85950775995</c:v>
                </c:pt>
                <c:pt idx="3">
                  <c:v>8.08764106272</c:v>
                </c:pt>
              </c:numCache>
            </c:numRef>
          </c:val>
          <c:smooth val="0"/>
        </c:ser>
        <c:ser>
          <c:idx val="66"/>
          <c:order val="6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fuel_supply_costs.tsv!$BQ$14:$BQ$17</c:f>
              <c:numCache>
                <c:formatCode>General</c:formatCode>
                <c:ptCount val="4"/>
                <c:pt idx="0">
                  <c:v>7.44392375154</c:v>
                </c:pt>
                <c:pt idx="1">
                  <c:v>6.0022482331</c:v>
                </c:pt>
                <c:pt idx="2">
                  <c:v>6.00055169188</c:v>
                </c:pt>
                <c:pt idx="3">
                  <c:v>6.00525621192</c:v>
                </c:pt>
              </c:numCache>
            </c:numRef>
          </c:val>
          <c:smooth val="0"/>
        </c:ser>
        <c:ser>
          <c:idx val="67"/>
          <c:order val="6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fuel_supply_costs.tsv!$BR$14:$BR$17</c:f>
              <c:numCache>
                <c:formatCode>General</c:formatCode>
                <c:ptCount val="4"/>
                <c:pt idx="0">
                  <c:v>14.5821844705</c:v>
                </c:pt>
                <c:pt idx="1">
                  <c:v>8.38430745574</c:v>
                </c:pt>
                <c:pt idx="2">
                  <c:v>7.06257588188</c:v>
                </c:pt>
                <c:pt idx="3">
                  <c:v>12.3277643982</c:v>
                </c:pt>
              </c:numCache>
            </c:numRef>
          </c:val>
          <c:smooth val="0"/>
        </c:ser>
        <c:ser>
          <c:idx val="68"/>
          <c:order val="6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fuel_supply_costs.tsv!$BS$14:$BS$17</c:f>
              <c:numCache>
                <c:formatCode>General</c:formatCode>
                <c:ptCount val="4"/>
                <c:pt idx="0">
                  <c:v>7.72567707376</c:v>
                </c:pt>
                <c:pt idx="1">
                  <c:v>6.12825697342</c:v>
                </c:pt>
                <c:pt idx="2">
                  <c:v>6.55568442337</c:v>
                </c:pt>
                <c:pt idx="3">
                  <c:v>7.17567550186</c:v>
                </c:pt>
              </c:numCache>
            </c:numRef>
          </c:val>
          <c:smooth val="0"/>
        </c:ser>
        <c:ser>
          <c:idx val="69"/>
          <c:order val="6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fuel_supply_costs.tsv!$BT$14:$BT$17</c:f>
              <c:numCache>
                <c:formatCode>General</c:formatCode>
                <c:ptCount val="4"/>
                <c:pt idx="0">
                  <c:v>7.19614310293</c:v>
                </c:pt>
                <c:pt idx="1">
                  <c:v>10.2431599336</c:v>
                </c:pt>
                <c:pt idx="2">
                  <c:v>6.64578208974</c:v>
                </c:pt>
                <c:pt idx="3">
                  <c:v>6.34177018312</c:v>
                </c:pt>
              </c:numCache>
            </c:numRef>
          </c:val>
          <c:smooth val="0"/>
        </c:ser>
        <c:ser>
          <c:idx val="70"/>
          <c:order val="6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fuel_supply_costs.tsv!$BU$14:$BU$17</c:f>
              <c:numCache>
                <c:formatCode>General</c:formatCode>
                <c:ptCount val="4"/>
                <c:pt idx="0">
                  <c:v>11.150785613</c:v>
                </c:pt>
                <c:pt idx="1">
                  <c:v>7.34098654992</c:v>
                </c:pt>
                <c:pt idx="2">
                  <c:v>6.10886381914</c:v>
                </c:pt>
                <c:pt idx="3">
                  <c:v>6.35582979069</c:v>
                </c:pt>
              </c:numCache>
            </c:numRef>
          </c:val>
          <c:smooth val="0"/>
        </c:ser>
        <c:ser>
          <c:idx val="71"/>
          <c:order val="7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fuel_supply_costs.tsv!$BV$14:$BV$17</c:f>
              <c:numCache>
                <c:formatCode>General</c:formatCode>
                <c:ptCount val="4"/>
                <c:pt idx="0">
                  <c:v>10.6262622874</c:v>
                </c:pt>
                <c:pt idx="1">
                  <c:v>15.7054091337</c:v>
                </c:pt>
                <c:pt idx="2">
                  <c:v>7.31244607079</c:v>
                </c:pt>
                <c:pt idx="3">
                  <c:v>6.75521055534</c:v>
                </c:pt>
              </c:numCache>
            </c:numRef>
          </c:val>
          <c:smooth val="0"/>
        </c:ser>
        <c:ser>
          <c:idx val="72"/>
          <c:order val="7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fuel_supply_costs.tsv!$BW$14:$BW$17</c:f>
              <c:numCache>
                <c:formatCode>General</c:formatCode>
                <c:ptCount val="4"/>
                <c:pt idx="0">
                  <c:v>19.4971297147</c:v>
                </c:pt>
                <c:pt idx="1">
                  <c:v>13.9133437143</c:v>
                </c:pt>
                <c:pt idx="2">
                  <c:v>203.300472283</c:v>
                </c:pt>
                <c:pt idx="3">
                  <c:v>92.23096675639999</c:v>
                </c:pt>
              </c:numCache>
            </c:numRef>
          </c:val>
          <c:smooth val="0"/>
        </c:ser>
        <c:ser>
          <c:idx val="73"/>
          <c:order val="7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fuel_supply_costs.tsv!$BX$14:$BX$17</c:f>
              <c:numCache>
                <c:formatCode>General</c:formatCode>
                <c:ptCount val="4"/>
                <c:pt idx="0">
                  <c:v>16.81555698</c:v>
                </c:pt>
                <c:pt idx="1">
                  <c:v>8.7372352771</c:v>
                </c:pt>
                <c:pt idx="2">
                  <c:v>8.638568987819999</c:v>
                </c:pt>
                <c:pt idx="3">
                  <c:v>34.7036360328</c:v>
                </c:pt>
              </c:numCache>
            </c:numRef>
          </c:val>
          <c:smooth val="0"/>
        </c:ser>
        <c:ser>
          <c:idx val="74"/>
          <c:order val="7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fuel_supply_costs.tsv!$BY$14:$BY$17</c:f>
              <c:numCache>
                <c:formatCode>General</c:formatCode>
                <c:ptCount val="4"/>
                <c:pt idx="0">
                  <c:v>13.9301786557</c:v>
                </c:pt>
                <c:pt idx="1">
                  <c:v>58.4935652861</c:v>
                </c:pt>
                <c:pt idx="2">
                  <c:v>153.05513511</c:v>
                </c:pt>
                <c:pt idx="3">
                  <c:v>14.6228657916</c:v>
                </c:pt>
              </c:numCache>
            </c:numRef>
          </c:val>
          <c:smooth val="0"/>
        </c:ser>
        <c:ser>
          <c:idx val="75"/>
          <c:order val="7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fuel_supply_costs.tsv!$BZ$14:$BZ$17</c:f>
              <c:numCache>
                <c:formatCode>General</c:formatCode>
                <c:ptCount val="4"/>
                <c:pt idx="0">
                  <c:v>21.9896689977</c:v>
                </c:pt>
                <c:pt idx="1">
                  <c:v>8.78357195179</c:v>
                </c:pt>
                <c:pt idx="2">
                  <c:v>15.8735547789</c:v>
                </c:pt>
                <c:pt idx="3">
                  <c:v>8.45051034225</c:v>
                </c:pt>
              </c:numCache>
            </c:numRef>
          </c:val>
          <c:smooth val="0"/>
        </c:ser>
        <c:ser>
          <c:idx val="76"/>
          <c:order val="7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fuel_supply_costs.tsv!$CA$14:$CA$17</c:f>
              <c:numCache>
                <c:formatCode>General</c:formatCode>
                <c:ptCount val="4"/>
                <c:pt idx="0">
                  <c:v>10.4628578718</c:v>
                </c:pt>
                <c:pt idx="1">
                  <c:v>7.30477908534</c:v>
                </c:pt>
                <c:pt idx="2">
                  <c:v>6.41771614783</c:v>
                </c:pt>
                <c:pt idx="3">
                  <c:v>6.58374057531</c:v>
                </c:pt>
              </c:numCache>
            </c:numRef>
          </c:val>
          <c:smooth val="0"/>
        </c:ser>
        <c:ser>
          <c:idx val="77"/>
          <c:order val="7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fuel_supply_costs.tsv!$CB$14:$CB$17</c:f>
              <c:numCache>
                <c:formatCode>General</c:formatCode>
                <c:ptCount val="4"/>
                <c:pt idx="0">
                  <c:v>6.85066036402</c:v>
                </c:pt>
                <c:pt idx="1">
                  <c:v>6.2922980985</c:v>
                </c:pt>
                <c:pt idx="2">
                  <c:v>6.21163027936</c:v>
                </c:pt>
                <c:pt idx="3">
                  <c:v>6.28047852131</c:v>
                </c:pt>
              </c:numCache>
            </c:numRef>
          </c:val>
          <c:smooth val="0"/>
        </c:ser>
        <c:ser>
          <c:idx val="78"/>
          <c:order val="7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fuel_supply_costs.tsv!$CC$14:$CC$17</c:f>
              <c:numCache>
                <c:formatCode>General</c:formatCode>
                <c:ptCount val="4"/>
                <c:pt idx="0">
                  <c:v>19.1236699597</c:v>
                </c:pt>
                <c:pt idx="1">
                  <c:v>10.4538772286</c:v>
                </c:pt>
                <c:pt idx="2">
                  <c:v>19.5740527261</c:v>
                </c:pt>
                <c:pt idx="3">
                  <c:v>62.5914041207</c:v>
                </c:pt>
              </c:numCache>
            </c:numRef>
          </c:val>
          <c:smooth val="0"/>
        </c:ser>
        <c:ser>
          <c:idx val="79"/>
          <c:order val="7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fuel_supply_costs.tsv!$CD$14:$CD$17</c:f>
              <c:numCache>
                <c:formatCode>General</c:formatCode>
                <c:ptCount val="4"/>
                <c:pt idx="0">
                  <c:v>8.02864356752</c:v>
                </c:pt>
                <c:pt idx="1">
                  <c:v>7.14644580177</c:v>
                </c:pt>
                <c:pt idx="2">
                  <c:v>8.7691300267</c:v>
                </c:pt>
                <c:pt idx="3">
                  <c:v>43.0410276187</c:v>
                </c:pt>
              </c:numCache>
            </c:numRef>
          </c:val>
          <c:smooth val="0"/>
        </c:ser>
        <c:ser>
          <c:idx val="80"/>
          <c:order val="7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fuel_supply_costs.tsv!$CE$14:$CE$17</c:f>
              <c:numCache>
                <c:formatCode>General</c:formatCode>
                <c:ptCount val="4"/>
                <c:pt idx="0">
                  <c:v>23.5651213779</c:v>
                </c:pt>
                <c:pt idx="1">
                  <c:v>370.117977118</c:v>
                </c:pt>
                <c:pt idx="2">
                  <c:v>502.25907228</c:v>
                </c:pt>
                <c:pt idx="3">
                  <c:v>1307.23265704</c:v>
                </c:pt>
              </c:numCache>
            </c:numRef>
          </c:val>
          <c:smooth val="0"/>
        </c:ser>
        <c:ser>
          <c:idx val="81"/>
          <c:order val="8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fuel_supply_costs.tsv!$CF$14:$CF$17</c:f>
              <c:numCache>
                <c:formatCode>General</c:formatCode>
                <c:ptCount val="4"/>
                <c:pt idx="0">
                  <c:v>14.074404816</c:v>
                </c:pt>
                <c:pt idx="1">
                  <c:v>8.65730865992</c:v>
                </c:pt>
                <c:pt idx="2">
                  <c:v>6.52451956177</c:v>
                </c:pt>
                <c:pt idx="3">
                  <c:v>7.51919100334</c:v>
                </c:pt>
              </c:numCache>
            </c:numRef>
          </c:val>
          <c:smooth val="0"/>
        </c:ser>
        <c:ser>
          <c:idx val="82"/>
          <c:order val="8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fuel_supply_costs.tsv!$CG$14:$CG$17</c:f>
              <c:numCache>
                <c:formatCode>General</c:formatCode>
                <c:ptCount val="4"/>
                <c:pt idx="0">
                  <c:v>15.1124991998</c:v>
                </c:pt>
                <c:pt idx="1">
                  <c:v>20.1410907668</c:v>
                </c:pt>
                <c:pt idx="2">
                  <c:v>122.014768096</c:v>
                </c:pt>
                <c:pt idx="3">
                  <c:v>47.5510771533</c:v>
                </c:pt>
              </c:numCache>
            </c:numRef>
          </c:val>
          <c:smooth val="0"/>
        </c:ser>
        <c:ser>
          <c:idx val="83"/>
          <c:order val="8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fuel_supply_costs.tsv!$CH$14:$CH$17</c:f>
              <c:numCache>
                <c:formatCode>General</c:formatCode>
                <c:ptCount val="4"/>
                <c:pt idx="0">
                  <c:v>11.7223949592</c:v>
                </c:pt>
                <c:pt idx="1">
                  <c:v>7.42774144074</c:v>
                </c:pt>
                <c:pt idx="2">
                  <c:v>15.973383854</c:v>
                </c:pt>
                <c:pt idx="3">
                  <c:v>13.6216953995</c:v>
                </c:pt>
              </c:numCache>
            </c:numRef>
          </c:val>
          <c:smooth val="0"/>
        </c:ser>
        <c:ser>
          <c:idx val="84"/>
          <c:order val="8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fuel_supply_costs.tsv!$CI$14:$CI$17</c:f>
              <c:numCache>
                <c:formatCode>General</c:formatCode>
                <c:ptCount val="4"/>
                <c:pt idx="0">
                  <c:v>10.9827565666</c:v>
                </c:pt>
                <c:pt idx="1">
                  <c:v>8.25039334742</c:v>
                </c:pt>
                <c:pt idx="2">
                  <c:v>7.56582456095</c:v>
                </c:pt>
                <c:pt idx="3">
                  <c:v>7.57296594642</c:v>
                </c:pt>
              </c:numCache>
            </c:numRef>
          </c:val>
          <c:smooth val="0"/>
        </c:ser>
        <c:ser>
          <c:idx val="85"/>
          <c:order val="8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fuel_supply_costs.tsv!$CJ$14:$CJ$17</c:f>
              <c:numCache>
                <c:formatCode>General</c:formatCode>
                <c:ptCount val="4"/>
                <c:pt idx="0">
                  <c:v>20.7761890841</c:v>
                </c:pt>
                <c:pt idx="1">
                  <c:v>6.85030140059</c:v>
                </c:pt>
                <c:pt idx="2">
                  <c:v>9.50066013844</c:v>
                </c:pt>
                <c:pt idx="3">
                  <c:v>6.15412160293</c:v>
                </c:pt>
              </c:numCache>
            </c:numRef>
          </c:val>
          <c:smooth val="0"/>
        </c:ser>
        <c:ser>
          <c:idx val="86"/>
          <c:order val="8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fuel_supply_costs.tsv!$CK$14:$CK$17</c:f>
              <c:numCache>
                <c:formatCode>General</c:formatCode>
                <c:ptCount val="4"/>
                <c:pt idx="0">
                  <c:v>16.7765349223</c:v>
                </c:pt>
                <c:pt idx="1">
                  <c:v>10.3225713655</c:v>
                </c:pt>
                <c:pt idx="2">
                  <c:v>83.1156536358</c:v>
                </c:pt>
                <c:pt idx="3">
                  <c:v>287.961781797</c:v>
                </c:pt>
              </c:numCache>
            </c:numRef>
          </c:val>
          <c:smooth val="0"/>
        </c:ser>
        <c:ser>
          <c:idx val="87"/>
          <c:order val="8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fuel_supply_costs.tsv!$CL$14:$CL$17</c:f>
              <c:numCache>
                <c:formatCode>General</c:formatCode>
                <c:ptCount val="4"/>
                <c:pt idx="0">
                  <c:v>6.76314543996</c:v>
                </c:pt>
                <c:pt idx="1">
                  <c:v>10.2754017138</c:v>
                </c:pt>
                <c:pt idx="2">
                  <c:v>13.465483647</c:v>
                </c:pt>
                <c:pt idx="3">
                  <c:v>17.6870586993</c:v>
                </c:pt>
              </c:numCache>
            </c:numRef>
          </c:val>
          <c:smooth val="0"/>
        </c:ser>
        <c:ser>
          <c:idx val="88"/>
          <c:order val="8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fuel_supply_costs.tsv!$CM$14:$CM$17</c:f>
              <c:numCache>
                <c:formatCode>General</c:formatCode>
                <c:ptCount val="4"/>
                <c:pt idx="0">
                  <c:v>10.8259750799</c:v>
                </c:pt>
                <c:pt idx="1">
                  <c:v>7.20986990816</c:v>
                </c:pt>
                <c:pt idx="2">
                  <c:v>6.20888961338</c:v>
                </c:pt>
                <c:pt idx="3">
                  <c:v>6.62316735011</c:v>
                </c:pt>
              </c:numCache>
            </c:numRef>
          </c:val>
          <c:smooth val="0"/>
        </c:ser>
        <c:ser>
          <c:idx val="89"/>
          <c:order val="8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fuel_supply_costs.tsv!$CN$14:$CN$17</c:f>
              <c:numCache>
                <c:formatCode>General</c:formatCode>
                <c:ptCount val="4"/>
                <c:pt idx="0">
                  <c:v>18.4896898436</c:v>
                </c:pt>
                <c:pt idx="1">
                  <c:v>12.131825236</c:v>
                </c:pt>
                <c:pt idx="2">
                  <c:v>6.4324958717</c:v>
                </c:pt>
                <c:pt idx="3">
                  <c:v>6.07737436721</c:v>
                </c:pt>
              </c:numCache>
            </c:numRef>
          </c:val>
          <c:smooth val="0"/>
        </c:ser>
        <c:ser>
          <c:idx val="90"/>
          <c:order val="8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fuel_supply_costs.tsv!$CO$14:$CO$17</c:f>
              <c:numCache>
                <c:formatCode>General</c:formatCode>
                <c:ptCount val="4"/>
                <c:pt idx="0">
                  <c:v>9.08496603962</c:v>
                </c:pt>
                <c:pt idx="1">
                  <c:v>17.5636813231</c:v>
                </c:pt>
                <c:pt idx="2">
                  <c:v>17.1901316852</c:v>
                </c:pt>
                <c:pt idx="3">
                  <c:v>26.3115542955</c:v>
                </c:pt>
              </c:numCache>
            </c:numRef>
          </c:val>
          <c:smooth val="0"/>
        </c:ser>
        <c:ser>
          <c:idx val="91"/>
          <c:order val="9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fuel_supply_costs.tsv!$CP$14:$CP$17</c:f>
              <c:numCache>
                <c:formatCode>General</c:formatCode>
                <c:ptCount val="4"/>
                <c:pt idx="0">
                  <c:v>7.38974965637</c:v>
                </c:pt>
                <c:pt idx="1">
                  <c:v>14.623654912</c:v>
                </c:pt>
                <c:pt idx="2">
                  <c:v>18.683981251</c:v>
                </c:pt>
                <c:pt idx="3">
                  <c:v>11.437116726</c:v>
                </c:pt>
              </c:numCache>
            </c:numRef>
          </c:val>
          <c:smooth val="0"/>
        </c:ser>
        <c:ser>
          <c:idx val="92"/>
          <c:order val="9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fuel_supply_costs.tsv!$CQ$14:$CQ$17</c:f>
              <c:numCache>
                <c:formatCode>General</c:formatCode>
                <c:ptCount val="4"/>
                <c:pt idx="0">
                  <c:v>6.72186537596</c:v>
                </c:pt>
                <c:pt idx="1">
                  <c:v>10.1334366326</c:v>
                </c:pt>
                <c:pt idx="2">
                  <c:v>12.8523729679</c:v>
                </c:pt>
                <c:pt idx="3">
                  <c:v>7.21264107211</c:v>
                </c:pt>
              </c:numCache>
            </c:numRef>
          </c:val>
          <c:smooth val="0"/>
        </c:ser>
        <c:ser>
          <c:idx val="93"/>
          <c:order val="9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fuel_supply_costs.tsv!$CR$14:$CR$17</c:f>
              <c:numCache>
                <c:formatCode>General</c:formatCode>
                <c:ptCount val="4"/>
                <c:pt idx="0">
                  <c:v>9.51669022421</c:v>
                </c:pt>
                <c:pt idx="1">
                  <c:v>19.7938261177</c:v>
                </c:pt>
                <c:pt idx="2">
                  <c:v>80.6977295851</c:v>
                </c:pt>
                <c:pt idx="3">
                  <c:v>35.1320855316</c:v>
                </c:pt>
              </c:numCache>
            </c:numRef>
          </c:val>
          <c:smooth val="0"/>
        </c:ser>
        <c:ser>
          <c:idx val="94"/>
          <c:order val="9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fuel_supply_costs.tsv!$CS$14:$CS$17</c:f>
              <c:numCache>
                <c:formatCode>General</c:formatCode>
                <c:ptCount val="4"/>
                <c:pt idx="0">
                  <c:v>6.67756850828</c:v>
                </c:pt>
                <c:pt idx="1">
                  <c:v>6.14647477413</c:v>
                </c:pt>
                <c:pt idx="2">
                  <c:v>8.05533846667</c:v>
                </c:pt>
                <c:pt idx="3">
                  <c:v>6.87524984066</c:v>
                </c:pt>
              </c:numCache>
            </c:numRef>
          </c:val>
          <c:smooth val="0"/>
        </c:ser>
        <c:ser>
          <c:idx val="95"/>
          <c:order val="9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fuel_supply_costs.tsv!$CT$14:$CT$17</c:f>
              <c:numCache>
                <c:formatCode>General</c:formatCode>
                <c:ptCount val="4"/>
                <c:pt idx="0">
                  <c:v>15.7089016372</c:v>
                </c:pt>
                <c:pt idx="1">
                  <c:v>11.1184864919</c:v>
                </c:pt>
                <c:pt idx="2">
                  <c:v>6.52815359449</c:v>
                </c:pt>
                <c:pt idx="3">
                  <c:v>6.17922317134</c:v>
                </c:pt>
              </c:numCache>
            </c:numRef>
          </c:val>
          <c:smooth val="0"/>
        </c:ser>
        <c:ser>
          <c:idx val="96"/>
          <c:order val="9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fuel_supply_costs.tsv!$CU$14:$CU$17</c:f>
              <c:numCache>
                <c:formatCode>General</c:formatCode>
                <c:ptCount val="4"/>
                <c:pt idx="0">
                  <c:v>9.428273213740001</c:v>
                </c:pt>
                <c:pt idx="1">
                  <c:v>6.30008069887</c:v>
                </c:pt>
                <c:pt idx="2">
                  <c:v>6.37368351166</c:v>
                </c:pt>
                <c:pt idx="3">
                  <c:v>6.02860146781</c:v>
                </c:pt>
              </c:numCache>
            </c:numRef>
          </c:val>
          <c:smooth val="0"/>
        </c:ser>
        <c:ser>
          <c:idx val="97"/>
          <c:order val="9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fuel_supply_costs.tsv!$CV$14:$CV$17</c:f>
              <c:numCache>
                <c:formatCode>General</c:formatCode>
                <c:ptCount val="4"/>
                <c:pt idx="0">
                  <c:v>12.3119692168</c:v>
                </c:pt>
                <c:pt idx="1">
                  <c:v>31.6631377571</c:v>
                </c:pt>
                <c:pt idx="2">
                  <c:v>10.0039365835</c:v>
                </c:pt>
                <c:pt idx="3">
                  <c:v>10.327062565</c:v>
                </c:pt>
              </c:numCache>
            </c:numRef>
          </c:val>
          <c:smooth val="0"/>
        </c:ser>
        <c:ser>
          <c:idx val="98"/>
          <c:order val="9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fuel_supply_costs.tsv!$CW$14:$CW$17</c:f>
              <c:numCache>
                <c:formatCode>General</c:formatCode>
                <c:ptCount val="4"/>
                <c:pt idx="0">
                  <c:v>8.19419920223</c:v>
                </c:pt>
                <c:pt idx="1">
                  <c:v>7.92967348859</c:v>
                </c:pt>
                <c:pt idx="2">
                  <c:v>6.73313531684</c:v>
                </c:pt>
                <c:pt idx="3">
                  <c:v>6.22578017379</c:v>
                </c:pt>
              </c:numCache>
            </c:numRef>
          </c:val>
          <c:smooth val="0"/>
        </c:ser>
        <c:ser>
          <c:idx val="99"/>
          <c:order val="9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fuel_supply_costs.tsv!$CX$14:$CX$17</c:f>
              <c:numCache>
                <c:formatCode>General</c:formatCode>
                <c:ptCount val="4"/>
                <c:pt idx="0">
                  <c:v>10.5848650164</c:v>
                </c:pt>
                <c:pt idx="1">
                  <c:v>25.4419344533</c:v>
                </c:pt>
                <c:pt idx="2">
                  <c:v>6.54080398365</c:v>
                </c:pt>
                <c:pt idx="3">
                  <c:v>6.18180501369</c:v>
                </c:pt>
              </c:numCache>
            </c:numRef>
          </c:val>
          <c:smooth val="0"/>
        </c:ser>
        <c:ser>
          <c:idx val="100"/>
          <c:order val="9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fuel_supply_costs.tsv!$CY$14:$CY$17</c:f>
              <c:numCache>
                <c:formatCode>General</c:formatCode>
                <c:ptCount val="4"/>
                <c:pt idx="0">
                  <c:v>7.23864207884</c:v>
                </c:pt>
                <c:pt idx="1">
                  <c:v>18.7984373815</c:v>
                </c:pt>
                <c:pt idx="2">
                  <c:v>77.50687990439999</c:v>
                </c:pt>
                <c:pt idx="3">
                  <c:v>348.915752864</c:v>
                </c:pt>
              </c:numCache>
            </c:numRef>
          </c:val>
          <c:smooth val="0"/>
        </c:ser>
        <c:ser>
          <c:idx val="101"/>
          <c:order val="10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fuel_supply_costs.tsv!$CZ$14:$CZ$17</c:f>
              <c:numCache>
                <c:formatCode>General</c:formatCode>
                <c:ptCount val="4"/>
                <c:pt idx="0">
                  <c:v>15.1054942572</c:v>
                </c:pt>
                <c:pt idx="1">
                  <c:v>12.0090020427</c:v>
                </c:pt>
                <c:pt idx="2">
                  <c:v>21.8139270205</c:v>
                </c:pt>
                <c:pt idx="3">
                  <c:v>35.3297303258</c:v>
                </c:pt>
              </c:numCache>
            </c:numRef>
          </c:val>
          <c:smooth val="0"/>
        </c:ser>
        <c:ser>
          <c:idx val="102"/>
          <c:order val="10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fuel_supply_costs.tsv!$DA$14:$DA$17</c:f>
              <c:numCache>
                <c:formatCode>General</c:formatCode>
                <c:ptCount val="4"/>
                <c:pt idx="0">
                  <c:v>40.4223610491</c:v>
                </c:pt>
                <c:pt idx="1">
                  <c:v>36.0935189832</c:v>
                </c:pt>
                <c:pt idx="2">
                  <c:v>78.8676259594</c:v>
                </c:pt>
                <c:pt idx="3">
                  <c:v>416.579076727</c:v>
                </c:pt>
              </c:numCache>
            </c:numRef>
          </c:val>
          <c:smooth val="0"/>
        </c:ser>
        <c:ser>
          <c:idx val="103"/>
          <c:order val="10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fuel_supply_costs.tsv!$DB$14:$DB$17</c:f>
              <c:numCache>
                <c:formatCode>General</c:formatCode>
                <c:ptCount val="4"/>
                <c:pt idx="0">
                  <c:v>10.7962059535</c:v>
                </c:pt>
                <c:pt idx="1">
                  <c:v>8.03215920907</c:v>
                </c:pt>
                <c:pt idx="2">
                  <c:v>7.32710429417</c:v>
                </c:pt>
                <c:pt idx="3">
                  <c:v>11.9705473976</c:v>
                </c:pt>
              </c:numCache>
            </c:numRef>
          </c:val>
          <c:smooth val="0"/>
        </c:ser>
        <c:ser>
          <c:idx val="104"/>
          <c:order val="10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fuel_supply_costs.tsv!$DC$14:$DC$17</c:f>
              <c:numCache>
                <c:formatCode>General</c:formatCode>
                <c:ptCount val="4"/>
                <c:pt idx="0">
                  <c:v>7.84739069974</c:v>
                </c:pt>
                <c:pt idx="1">
                  <c:v>14.8049302917</c:v>
                </c:pt>
                <c:pt idx="2">
                  <c:v>8.21514844759</c:v>
                </c:pt>
                <c:pt idx="3">
                  <c:v>8.30094148834</c:v>
                </c:pt>
              </c:numCache>
            </c:numRef>
          </c:val>
          <c:smooth val="0"/>
        </c:ser>
        <c:ser>
          <c:idx val="105"/>
          <c:order val="10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fuel_supply_costs.tsv!$DD$14:$DD$17</c:f>
              <c:numCache>
                <c:formatCode>General</c:formatCode>
                <c:ptCount val="4"/>
                <c:pt idx="0">
                  <c:v>8.10156869209</c:v>
                </c:pt>
                <c:pt idx="1">
                  <c:v>8.55683877802</c:v>
                </c:pt>
                <c:pt idx="2">
                  <c:v>6.85432493761</c:v>
                </c:pt>
                <c:pt idx="3">
                  <c:v>6.03206541561</c:v>
                </c:pt>
              </c:numCache>
            </c:numRef>
          </c:val>
          <c:smooth val="0"/>
        </c:ser>
        <c:ser>
          <c:idx val="106"/>
          <c:order val="10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fuel_supply_costs.tsv!$DE$14:$DE$17</c:f>
              <c:numCache>
                <c:formatCode>General</c:formatCode>
                <c:ptCount val="4"/>
                <c:pt idx="0">
                  <c:v>6.94975808469</c:v>
                </c:pt>
                <c:pt idx="1">
                  <c:v>6.03575349361</c:v>
                </c:pt>
                <c:pt idx="2">
                  <c:v>6.01885917059</c:v>
                </c:pt>
                <c:pt idx="3">
                  <c:v>6.0127302168</c:v>
                </c:pt>
              </c:numCache>
            </c:numRef>
          </c:val>
          <c:smooth val="0"/>
        </c:ser>
        <c:ser>
          <c:idx val="107"/>
          <c:order val="10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fuel_supply_costs.tsv!$DF$14:$DF$17</c:f>
              <c:numCache>
                <c:formatCode>General</c:formatCode>
                <c:ptCount val="4"/>
                <c:pt idx="0">
                  <c:v>6.72891081065</c:v>
                </c:pt>
                <c:pt idx="1">
                  <c:v>7.66338221731</c:v>
                </c:pt>
                <c:pt idx="2">
                  <c:v>7.48459525104</c:v>
                </c:pt>
                <c:pt idx="3">
                  <c:v>6.81563995733</c:v>
                </c:pt>
              </c:numCache>
            </c:numRef>
          </c:val>
          <c:smooth val="0"/>
        </c:ser>
        <c:ser>
          <c:idx val="108"/>
          <c:order val="10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fuel_supply_costs.tsv!$DG$14:$DG$17</c:f>
              <c:numCache>
                <c:formatCode>General</c:formatCode>
                <c:ptCount val="4"/>
                <c:pt idx="0">
                  <c:v>6.4197429453</c:v>
                </c:pt>
                <c:pt idx="1">
                  <c:v>6.01367737378</c:v>
                </c:pt>
                <c:pt idx="2">
                  <c:v>6.01412332905</c:v>
                </c:pt>
                <c:pt idx="3">
                  <c:v>6.0044646672</c:v>
                </c:pt>
              </c:numCache>
            </c:numRef>
          </c:val>
          <c:smooth val="0"/>
        </c:ser>
        <c:ser>
          <c:idx val="109"/>
          <c:order val="10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fuel_supply_costs.tsv!$DH$14:$DH$17</c:f>
              <c:numCache>
                <c:formatCode>General</c:formatCode>
                <c:ptCount val="4"/>
                <c:pt idx="0">
                  <c:v>11.4889202004</c:v>
                </c:pt>
                <c:pt idx="1">
                  <c:v>8.88354274846</c:v>
                </c:pt>
                <c:pt idx="2">
                  <c:v>41.9246025501</c:v>
                </c:pt>
                <c:pt idx="3">
                  <c:v>116.046346822</c:v>
                </c:pt>
              </c:numCache>
            </c:numRef>
          </c:val>
          <c:smooth val="0"/>
        </c:ser>
        <c:ser>
          <c:idx val="110"/>
          <c:order val="10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fuel_supply_costs.tsv!$DI$14:$DI$17</c:f>
              <c:numCache>
                <c:formatCode>General</c:formatCode>
                <c:ptCount val="4"/>
                <c:pt idx="0">
                  <c:v>6.26499943914</c:v>
                </c:pt>
                <c:pt idx="1">
                  <c:v>7.88586177324</c:v>
                </c:pt>
                <c:pt idx="2">
                  <c:v>7.50673563411</c:v>
                </c:pt>
                <c:pt idx="3">
                  <c:v>9.11279907522</c:v>
                </c:pt>
              </c:numCache>
            </c:numRef>
          </c:val>
          <c:smooth val="0"/>
        </c:ser>
        <c:ser>
          <c:idx val="111"/>
          <c:order val="11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fuel_supply_costs.tsv!$DJ$14:$DJ$17</c:f>
              <c:numCache>
                <c:formatCode>General</c:formatCode>
                <c:ptCount val="4"/>
                <c:pt idx="0">
                  <c:v>66.8033953596</c:v>
                </c:pt>
                <c:pt idx="1">
                  <c:v>465.5607782</c:v>
                </c:pt>
                <c:pt idx="2">
                  <c:v>270.055678613</c:v>
                </c:pt>
                <c:pt idx="3">
                  <c:v>1697.18015683</c:v>
                </c:pt>
              </c:numCache>
            </c:numRef>
          </c:val>
          <c:smooth val="0"/>
        </c:ser>
        <c:ser>
          <c:idx val="112"/>
          <c:order val="11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fuel_supply_costs.tsv!$DK$14:$DK$17</c:f>
              <c:numCache>
                <c:formatCode>General</c:formatCode>
                <c:ptCount val="4"/>
                <c:pt idx="0">
                  <c:v>26.9359390312</c:v>
                </c:pt>
                <c:pt idx="1">
                  <c:v>29.8984311646</c:v>
                </c:pt>
                <c:pt idx="2">
                  <c:v>456.823216319</c:v>
                </c:pt>
                <c:pt idx="3">
                  <c:v>243.314306396</c:v>
                </c:pt>
              </c:numCache>
            </c:numRef>
          </c:val>
          <c:smooth val="0"/>
        </c:ser>
        <c:ser>
          <c:idx val="113"/>
          <c:order val="11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fuel_supply_costs.tsv!$DL$14:$DL$17</c:f>
              <c:numCache>
                <c:formatCode>General</c:formatCode>
                <c:ptCount val="4"/>
                <c:pt idx="0">
                  <c:v>8.0976089459</c:v>
                </c:pt>
                <c:pt idx="1">
                  <c:v>11.4353084741</c:v>
                </c:pt>
                <c:pt idx="2">
                  <c:v>22.2467630142</c:v>
                </c:pt>
                <c:pt idx="3">
                  <c:v>38.1180120547</c:v>
                </c:pt>
              </c:numCache>
            </c:numRef>
          </c:val>
          <c:smooth val="0"/>
        </c:ser>
        <c:ser>
          <c:idx val="114"/>
          <c:order val="11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fuel_supply_costs.tsv!$DM$14:$DM$17</c:f>
              <c:numCache>
                <c:formatCode>General</c:formatCode>
                <c:ptCount val="4"/>
                <c:pt idx="0">
                  <c:v>6.91599647925</c:v>
                </c:pt>
                <c:pt idx="1">
                  <c:v>6.05156241062</c:v>
                </c:pt>
                <c:pt idx="2">
                  <c:v>6.00158416998</c:v>
                </c:pt>
                <c:pt idx="3">
                  <c:v>6.00040569737</c:v>
                </c:pt>
              </c:numCache>
            </c:numRef>
          </c:val>
          <c:smooth val="0"/>
        </c:ser>
        <c:ser>
          <c:idx val="115"/>
          <c:order val="11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fuel_supply_costs.tsv!$DN$14:$DN$17</c:f>
              <c:numCache>
                <c:formatCode>General</c:formatCode>
                <c:ptCount val="4"/>
                <c:pt idx="0">
                  <c:v>8.58942402142</c:v>
                </c:pt>
                <c:pt idx="1">
                  <c:v>40.4593365137</c:v>
                </c:pt>
                <c:pt idx="2">
                  <c:v>7.11461216428</c:v>
                </c:pt>
                <c:pt idx="3">
                  <c:v>9.39209916815</c:v>
                </c:pt>
              </c:numCache>
            </c:numRef>
          </c:val>
          <c:smooth val="0"/>
        </c:ser>
        <c:ser>
          <c:idx val="116"/>
          <c:order val="11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fuel_supply_costs.tsv!$DO$14:$DO$17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ser>
          <c:idx val="0"/>
          <c:order val="116"/>
          <c:tx>
            <c:strRef>
              <c:f>fuel_supply_costs.tsv!$A$34</c:f>
              <c:strCache>
                <c:ptCount val="1"/>
                <c:pt idx="0">
                  <c:v>Mean - Bulk LNG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fuel_supply_costs.tsv!$C$34:$C$37</c:f>
              <c:numCache>
                <c:formatCode>General</c:formatCode>
                <c:ptCount val="4"/>
                <c:pt idx="0">
                  <c:v>13.29643468255111</c:v>
                </c:pt>
                <c:pt idx="1">
                  <c:v>32.60396302802034</c:v>
                </c:pt>
                <c:pt idx="2">
                  <c:v>109.9645485225868</c:v>
                </c:pt>
                <c:pt idx="3">
                  <c:v>108.3707913668539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4798520"/>
        <c:axId val="-2134795480"/>
      </c:lineChart>
      <c:catAx>
        <c:axId val="-213479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4795480"/>
        <c:crosses val="autoZero"/>
        <c:auto val="1"/>
        <c:lblAlgn val="ctr"/>
        <c:lblOffset val="100"/>
        <c:noMultiLvlLbl val="0"/>
      </c:catAx>
      <c:valAx>
        <c:axId val="-2134795480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47985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>
        <c:manualLayout>
          <c:xMode val="edge"/>
          <c:yMode val="edge"/>
          <c:x val="0.327774456159082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44147871347"/>
          <c:y val="0.144650529794887"/>
          <c:w val="0.733203256372614"/>
          <c:h val="0.756515342989534"/>
        </c:manualLayout>
      </c:layout>
      <c:lineChart>
        <c:grouping val="standard"/>
        <c:varyColors val="0"/>
        <c:ser>
          <c:idx val="1"/>
          <c:order val="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fuel_supply_costs.tsv!$D$26:$D$29</c:f>
              <c:numCache>
                <c:formatCode>General</c:formatCode>
                <c:ptCount val="4"/>
                <c:pt idx="0">
                  <c:v>31.2211754052</c:v>
                </c:pt>
                <c:pt idx="1">
                  <c:v>33.6655361119</c:v>
                </c:pt>
                <c:pt idx="2">
                  <c:v>140.493368843</c:v>
                </c:pt>
                <c:pt idx="3">
                  <c:v>331.368769625</c:v>
                </c:pt>
              </c:numCache>
            </c:numRef>
          </c:val>
          <c:smooth val="0"/>
        </c:ser>
        <c:ser>
          <c:idx val="2"/>
          <c:order val="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fuel_supply_costs.tsv!$E$26:$E$29</c:f>
              <c:numCache>
                <c:formatCode>General</c:formatCode>
                <c:ptCount val="4"/>
                <c:pt idx="0">
                  <c:v>63.9308256946</c:v>
                </c:pt>
                <c:pt idx="1">
                  <c:v>106.568995951</c:v>
                </c:pt>
                <c:pt idx="2">
                  <c:v>386.00347221</c:v>
                </c:pt>
                <c:pt idx="3">
                  <c:v>350.094259381</c:v>
                </c:pt>
              </c:numCache>
            </c:numRef>
          </c:val>
          <c:smooth val="0"/>
        </c:ser>
        <c:ser>
          <c:idx val="3"/>
          <c:order val="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fuel_supply_costs.tsv!$F$26:$F$29</c:f>
              <c:numCache>
                <c:formatCode>General</c:formatCode>
                <c:ptCount val="4"/>
                <c:pt idx="0">
                  <c:v>28.7501978091</c:v>
                </c:pt>
                <c:pt idx="1">
                  <c:v>18.8899638542</c:v>
                </c:pt>
                <c:pt idx="2">
                  <c:v>17.7494160138</c:v>
                </c:pt>
                <c:pt idx="3">
                  <c:v>90.051605209</c:v>
                </c:pt>
              </c:numCache>
            </c:numRef>
          </c:val>
          <c:smooth val="0"/>
        </c:ser>
        <c:ser>
          <c:idx val="4"/>
          <c:order val="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fuel_supply_costs.tsv!$G$26:$G$29</c:f>
              <c:numCache>
                <c:formatCode>General</c:formatCode>
                <c:ptCount val="4"/>
                <c:pt idx="0">
                  <c:v>20.4065583348</c:v>
                </c:pt>
                <c:pt idx="1">
                  <c:v>14.7648006099</c:v>
                </c:pt>
                <c:pt idx="2">
                  <c:v>41.4387792413</c:v>
                </c:pt>
                <c:pt idx="3">
                  <c:v>116.971078588</c:v>
                </c:pt>
              </c:numCache>
            </c:numRef>
          </c:val>
          <c:smooth val="0"/>
        </c:ser>
        <c:ser>
          <c:idx val="5"/>
          <c:order val="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fuel_supply_costs.tsv!$H$26:$H$29</c:f>
              <c:numCache>
                <c:formatCode>General</c:formatCode>
                <c:ptCount val="4"/>
                <c:pt idx="0">
                  <c:v>15.0175372623</c:v>
                </c:pt>
                <c:pt idx="1">
                  <c:v>19.5769685928</c:v>
                </c:pt>
                <c:pt idx="2">
                  <c:v>46.0454241456</c:v>
                </c:pt>
                <c:pt idx="3">
                  <c:v>24.7434571867</c:v>
                </c:pt>
              </c:numCache>
            </c:numRef>
          </c:val>
          <c:smooth val="0"/>
        </c:ser>
        <c:ser>
          <c:idx val="6"/>
          <c:order val="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fuel_supply_costs.tsv!$I$26:$I$29</c:f>
              <c:numCache>
                <c:formatCode>General</c:formatCode>
                <c:ptCount val="4"/>
                <c:pt idx="0">
                  <c:v>23.3294780678</c:v>
                </c:pt>
                <c:pt idx="1">
                  <c:v>16.7282580187</c:v>
                </c:pt>
                <c:pt idx="2">
                  <c:v>21.76870395</c:v>
                </c:pt>
                <c:pt idx="3">
                  <c:v>114.789815235</c:v>
                </c:pt>
              </c:numCache>
            </c:numRef>
          </c:val>
          <c:smooth val="0"/>
        </c:ser>
        <c:ser>
          <c:idx val="7"/>
          <c:order val="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fuel_supply_costs.tsv!$J$26:$J$29</c:f>
              <c:numCache>
                <c:formatCode>General</c:formatCode>
                <c:ptCount val="4"/>
                <c:pt idx="0">
                  <c:v>38.1098843319</c:v>
                </c:pt>
                <c:pt idx="1">
                  <c:v>53.7699846587</c:v>
                </c:pt>
                <c:pt idx="2">
                  <c:v>102.97561355</c:v>
                </c:pt>
                <c:pt idx="3">
                  <c:v>199.951285333</c:v>
                </c:pt>
              </c:numCache>
            </c:numRef>
          </c:val>
          <c:smooth val="0"/>
        </c:ser>
        <c:ser>
          <c:idx val="8"/>
          <c:order val="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fuel_supply_costs.tsv!$K$26:$K$29</c:f>
              <c:numCache>
                <c:formatCode>General</c:formatCode>
                <c:ptCount val="4"/>
                <c:pt idx="0">
                  <c:v>22.7563262209</c:v>
                </c:pt>
                <c:pt idx="1">
                  <c:v>87.2437352097</c:v>
                </c:pt>
                <c:pt idx="2">
                  <c:v>394.702622087</c:v>
                </c:pt>
                <c:pt idx="3">
                  <c:v>409.108992585</c:v>
                </c:pt>
              </c:numCache>
            </c:numRef>
          </c:val>
          <c:smooth val="0"/>
        </c:ser>
        <c:ser>
          <c:idx val="9"/>
          <c:order val="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fuel_supply_costs.tsv!$L$26:$L$29</c:f>
              <c:numCache>
                <c:formatCode>General</c:formatCode>
                <c:ptCount val="4"/>
                <c:pt idx="0">
                  <c:v>39.0047332506</c:v>
                </c:pt>
                <c:pt idx="1">
                  <c:v>28.2602176689</c:v>
                </c:pt>
                <c:pt idx="2">
                  <c:v>46.9980682238</c:v>
                </c:pt>
                <c:pt idx="3">
                  <c:v>50.4604516167</c:v>
                </c:pt>
              </c:numCache>
            </c:numRef>
          </c:val>
          <c:smooth val="0"/>
        </c:ser>
        <c:ser>
          <c:idx val="10"/>
          <c:order val="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fuel_supply_costs.tsv!$M$26:$M$29</c:f>
              <c:numCache>
                <c:formatCode>General</c:formatCode>
                <c:ptCount val="4"/>
                <c:pt idx="0">
                  <c:v>38.2509579503</c:v>
                </c:pt>
                <c:pt idx="1">
                  <c:v>38.6628738457</c:v>
                </c:pt>
                <c:pt idx="2">
                  <c:v>29.9887123581</c:v>
                </c:pt>
                <c:pt idx="3">
                  <c:v>24.6898609703</c:v>
                </c:pt>
              </c:numCache>
            </c:numRef>
          </c:val>
          <c:smooth val="0"/>
        </c:ser>
        <c:ser>
          <c:idx val="11"/>
          <c:order val="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fuel_supply_costs.tsv!$N$26:$N$29</c:f>
              <c:numCache>
                <c:formatCode>General</c:formatCode>
                <c:ptCount val="4"/>
                <c:pt idx="0">
                  <c:v>15.7169429447</c:v>
                </c:pt>
                <c:pt idx="1">
                  <c:v>6.72911488574</c:v>
                </c:pt>
                <c:pt idx="2">
                  <c:v>10.9761955147</c:v>
                </c:pt>
                <c:pt idx="3">
                  <c:v>25.8657052931</c:v>
                </c:pt>
              </c:numCache>
            </c:numRef>
          </c:val>
          <c:smooth val="0"/>
        </c:ser>
        <c:ser>
          <c:idx val="12"/>
          <c:order val="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fuel_supply_costs.tsv!$O$26:$O$29</c:f>
              <c:numCache>
                <c:formatCode>General</c:formatCode>
                <c:ptCount val="4"/>
                <c:pt idx="0">
                  <c:v>18.8792177326</c:v>
                </c:pt>
                <c:pt idx="1">
                  <c:v>80.5369198498</c:v>
                </c:pt>
                <c:pt idx="2">
                  <c:v>106.78133688</c:v>
                </c:pt>
                <c:pt idx="3">
                  <c:v>106.201837844</c:v>
                </c:pt>
              </c:numCache>
            </c:numRef>
          </c:val>
          <c:smooth val="0"/>
        </c:ser>
        <c:ser>
          <c:idx val="13"/>
          <c:order val="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fuel_supply_costs.tsv!$P$26:$P$29</c:f>
              <c:numCache>
                <c:formatCode>General</c:formatCode>
                <c:ptCount val="4"/>
                <c:pt idx="0">
                  <c:v>21.5271487441</c:v>
                </c:pt>
                <c:pt idx="1">
                  <c:v>26.2324289121</c:v>
                </c:pt>
                <c:pt idx="2">
                  <c:v>92.3377012956</c:v>
                </c:pt>
                <c:pt idx="3">
                  <c:v>173.464164723</c:v>
                </c:pt>
              </c:numCache>
            </c:numRef>
          </c:val>
          <c:smooth val="0"/>
        </c:ser>
        <c:ser>
          <c:idx val="14"/>
          <c:order val="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fuel_supply_costs.tsv!$Q$26:$Q$29</c:f>
              <c:numCache>
                <c:formatCode>General</c:formatCode>
                <c:ptCount val="4"/>
                <c:pt idx="0">
                  <c:v>27.6569294259</c:v>
                </c:pt>
                <c:pt idx="1">
                  <c:v>21.8618066206</c:v>
                </c:pt>
                <c:pt idx="2">
                  <c:v>18.0190783624</c:v>
                </c:pt>
                <c:pt idx="3">
                  <c:v>40.4457144395</c:v>
                </c:pt>
              </c:numCache>
            </c:numRef>
          </c:val>
          <c:smooth val="0"/>
        </c:ser>
        <c:ser>
          <c:idx val="15"/>
          <c:order val="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fuel_supply_costs.tsv!$R$26:$R$29</c:f>
              <c:numCache>
                <c:formatCode>General</c:formatCode>
                <c:ptCount val="4"/>
                <c:pt idx="0">
                  <c:v>27.1503945375</c:v>
                </c:pt>
                <c:pt idx="1">
                  <c:v>27.1390788936</c:v>
                </c:pt>
                <c:pt idx="2">
                  <c:v>90.6699130935</c:v>
                </c:pt>
                <c:pt idx="3">
                  <c:v>76.8326209984</c:v>
                </c:pt>
              </c:numCache>
            </c:numRef>
          </c:val>
          <c:smooth val="0"/>
        </c:ser>
        <c:ser>
          <c:idx val="16"/>
          <c:order val="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fuel_supply_costs.tsv!$S$26:$S$29</c:f>
              <c:numCache>
                <c:formatCode>General</c:formatCode>
                <c:ptCount val="4"/>
                <c:pt idx="0">
                  <c:v>16.8506777609</c:v>
                </c:pt>
                <c:pt idx="1">
                  <c:v>42.1662403309</c:v>
                </c:pt>
                <c:pt idx="2">
                  <c:v>182.713304131</c:v>
                </c:pt>
                <c:pt idx="3">
                  <c:v>354.074382339</c:v>
                </c:pt>
              </c:numCache>
            </c:numRef>
          </c:val>
          <c:smooth val="0"/>
        </c:ser>
        <c:ser>
          <c:idx val="17"/>
          <c:order val="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fuel_supply_costs.tsv!$T$26:$T$29</c:f>
              <c:numCache>
                <c:formatCode>General</c:formatCode>
                <c:ptCount val="4"/>
                <c:pt idx="0">
                  <c:v>10.8353871407</c:v>
                </c:pt>
                <c:pt idx="1">
                  <c:v>56.2514605617</c:v>
                </c:pt>
                <c:pt idx="2">
                  <c:v>123.179556968</c:v>
                </c:pt>
                <c:pt idx="3">
                  <c:v>654.389895496</c:v>
                </c:pt>
              </c:numCache>
            </c:numRef>
          </c:val>
          <c:smooth val="0"/>
        </c:ser>
        <c:ser>
          <c:idx val="18"/>
          <c:order val="1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fuel_supply_costs.tsv!$U$26:$U$29</c:f>
              <c:numCache>
                <c:formatCode>General</c:formatCode>
                <c:ptCount val="4"/>
                <c:pt idx="0">
                  <c:v>29.8821513199</c:v>
                </c:pt>
                <c:pt idx="1">
                  <c:v>10.3791754856</c:v>
                </c:pt>
                <c:pt idx="2">
                  <c:v>48.1996218874</c:v>
                </c:pt>
                <c:pt idx="3">
                  <c:v>80.4721090167</c:v>
                </c:pt>
              </c:numCache>
            </c:numRef>
          </c:val>
          <c:smooth val="0"/>
        </c:ser>
        <c:ser>
          <c:idx val="19"/>
          <c:order val="1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fuel_supply_costs.tsv!$V$26:$V$29</c:f>
              <c:numCache>
                <c:formatCode>General</c:formatCode>
                <c:ptCount val="4"/>
                <c:pt idx="0">
                  <c:v>23.2465222345</c:v>
                </c:pt>
                <c:pt idx="1">
                  <c:v>17.6555859787</c:v>
                </c:pt>
                <c:pt idx="2">
                  <c:v>40.434602861</c:v>
                </c:pt>
                <c:pt idx="3">
                  <c:v>158.580053423</c:v>
                </c:pt>
              </c:numCache>
            </c:numRef>
          </c:val>
          <c:smooth val="0"/>
        </c:ser>
        <c:ser>
          <c:idx val="20"/>
          <c:order val="1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fuel_supply_costs.tsv!$W$26:$W$29</c:f>
              <c:numCache>
                <c:formatCode>General</c:formatCode>
                <c:ptCount val="4"/>
                <c:pt idx="0">
                  <c:v>102.760573134</c:v>
                </c:pt>
                <c:pt idx="1">
                  <c:v>163.173935779</c:v>
                </c:pt>
                <c:pt idx="2">
                  <c:v>456.785789858</c:v>
                </c:pt>
                <c:pt idx="3">
                  <c:v>235.13324062</c:v>
                </c:pt>
              </c:numCache>
            </c:numRef>
          </c:val>
          <c:smooth val="0"/>
        </c:ser>
        <c:ser>
          <c:idx val="21"/>
          <c:order val="2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fuel_supply_costs.tsv!$X$26:$X$29</c:f>
              <c:numCache>
                <c:formatCode>General</c:formatCode>
                <c:ptCount val="4"/>
                <c:pt idx="0">
                  <c:v>23.3544710452</c:v>
                </c:pt>
                <c:pt idx="1">
                  <c:v>27.2984664914</c:v>
                </c:pt>
                <c:pt idx="2">
                  <c:v>174.410485254</c:v>
                </c:pt>
                <c:pt idx="3">
                  <c:v>369.548259423</c:v>
                </c:pt>
              </c:numCache>
            </c:numRef>
          </c:val>
          <c:smooth val="0"/>
        </c:ser>
        <c:ser>
          <c:idx val="22"/>
          <c:order val="2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fuel_supply_costs.tsv!$Y$26:$Y$29</c:f>
              <c:numCache>
                <c:formatCode>General</c:formatCode>
                <c:ptCount val="4"/>
                <c:pt idx="0">
                  <c:v>25.265622475</c:v>
                </c:pt>
                <c:pt idx="1">
                  <c:v>41.3762989813</c:v>
                </c:pt>
                <c:pt idx="2">
                  <c:v>34.1864182066</c:v>
                </c:pt>
                <c:pt idx="3">
                  <c:v>60.6055293834</c:v>
                </c:pt>
              </c:numCache>
            </c:numRef>
          </c:val>
          <c:smooth val="0"/>
        </c:ser>
        <c:ser>
          <c:idx val="23"/>
          <c:order val="2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fuel_supply_costs.tsv!$Z$26:$Z$29</c:f>
              <c:numCache>
                <c:formatCode>General</c:formatCode>
                <c:ptCount val="4"/>
                <c:pt idx="0">
                  <c:v>82.764394546</c:v>
                </c:pt>
                <c:pt idx="1">
                  <c:v>319.661988614</c:v>
                </c:pt>
                <c:pt idx="2">
                  <c:v>819.539484981</c:v>
                </c:pt>
                <c:pt idx="3">
                  <c:v>1928.37720829</c:v>
                </c:pt>
              </c:numCache>
            </c:numRef>
          </c:val>
          <c:smooth val="0"/>
        </c:ser>
        <c:ser>
          <c:idx val="24"/>
          <c:order val="2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fuel_supply_costs.tsv!$AA$26:$AA$29</c:f>
              <c:numCache>
                <c:formatCode>General</c:formatCode>
                <c:ptCount val="4"/>
                <c:pt idx="0">
                  <c:v>20.6853108012</c:v>
                </c:pt>
                <c:pt idx="1">
                  <c:v>51.9470829124</c:v>
                </c:pt>
                <c:pt idx="2">
                  <c:v>29.350263517</c:v>
                </c:pt>
                <c:pt idx="3">
                  <c:v>21.6461229188</c:v>
                </c:pt>
              </c:numCache>
            </c:numRef>
          </c:val>
          <c:smooth val="0"/>
        </c:ser>
        <c:ser>
          <c:idx val="25"/>
          <c:order val="2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fuel_supply_costs.tsv!$AB$26:$AB$29</c:f>
              <c:numCache>
                <c:formatCode>General</c:formatCode>
                <c:ptCount val="4"/>
                <c:pt idx="0">
                  <c:v>25.6158681541</c:v>
                </c:pt>
                <c:pt idx="1">
                  <c:v>17.7994028209</c:v>
                </c:pt>
                <c:pt idx="2">
                  <c:v>19.8553141169</c:v>
                </c:pt>
                <c:pt idx="3">
                  <c:v>47.8929020996</c:v>
                </c:pt>
              </c:numCache>
            </c:numRef>
          </c:val>
          <c:smooth val="0"/>
        </c:ser>
        <c:ser>
          <c:idx val="26"/>
          <c:order val="2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fuel_supply_costs.tsv!$AC$26:$AC$29</c:f>
              <c:numCache>
                <c:formatCode>General</c:formatCode>
                <c:ptCount val="4"/>
                <c:pt idx="0">
                  <c:v>15.380939169</c:v>
                </c:pt>
                <c:pt idx="1">
                  <c:v>63.2672433855</c:v>
                </c:pt>
                <c:pt idx="2">
                  <c:v>62.6046782557</c:v>
                </c:pt>
                <c:pt idx="3">
                  <c:v>77.9056502299</c:v>
                </c:pt>
              </c:numCache>
            </c:numRef>
          </c:val>
          <c:smooth val="0"/>
        </c:ser>
        <c:ser>
          <c:idx val="27"/>
          <c:order val="2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fuel_supply_costs.tsv!$AD$26:$AD$29</c:f>
              <c:numCache>
                <c:formatCode>General</c:formatCode>
                <c:ptCount val="4"/>
                <c:pt idx="0">
                  <c:v>11.0801166089</c:v>
                </c:pt>
                <c:pt idx="1">
                  <c:v>26.3909722096</c:v>
                </c:pt>
                <c:pt idx="2">
                  <c:v>50.2976917668</c:v>
                </c:pt>
                <c:pt idx="3">
                  <c:v>75.6530128437</c:v>
                </c:pt>
              </c:numCache>
            </c:numRef>
          </c:val>
          <c:smooth val="0"/>
        </c:ser>
        <c:ser>
          <c:idx val="28"/>
          <c:order val="2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fuel_supply_costs.tsv!$AE$26:$AE$29</c:f>
              <c:numCache>
                <c:formatCode>General</c:formatCode>
                <c:ptCount val="4"/>
                <c:pt idx="0">
                  <c:v>20.4610813013</c:v>
                </c:pt>
                <c:pt idx="1">
                  <c:v>53.1861248796</c:v>
                </c:pt>
                <c:pt idx="2">
                  <c:v>125.591888925</c:v>
                </c:pt>
                <c:pt idx="3">
                  <c:v>217.289953568</c:v>
                </c:pt>
              </c:numCache>
            </c:numRef>
          </c:val>
          <c:smooth val="0"/>
        </c:ser>
        <c:ser>
          <c:idx val="29"/>
          <c:order val="2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fuel_supply_costs.tsv!$AF$26:$AF$29</c:f>
              <c:numCache>
                <c:formatCode>General</c:formatCode>
                <c:ptCount val="4"/>
                <c:pt idx="0">
                  <c:v>21.0397543703</c:v>
                </c:pt>
                <c:pt idx="1">
                  <c:v>20.858567948</c:v>
                </c:pt>
                <c:pt idx="2">
                  <c:v>104.086113674</c:v>
                </c:pt>
                <c:pt idx="3">
                  <c:v>65.392849465</c:v>
                </c:pt>
              </c:numCache>
            </c:numRef>
          </c:val>
          <c:smooth val="0"/>
        </c:ser>
        <c:ser>
          <c:idx val="30"/>
          <c:order val="2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fuel_supply_costs.tsv!$AG$26:$AG$29</c:f>
              <c:numCache>
                <c:formatCode>General</c:formatCode>
                <c:ptCount val="4"/>
                <c:pt idx="0">
                  <c:v>14.2552874879</c:v>
                </c:pt>
                <c:pt idx="1">
                  <c:v>32.3854898874</c:v>
                </c:pt>
                <c:pt idx="2">
                  <c:v>29.6053543784</c:v>
                </c:pt>
                <c:pt idx="3">
                  <c:v>44.5273041234</c:v>
                </c:pt>
              </c:numCache>
            </c:numRef>
          </c:val>
          <c:smooth val="0"/>
        </c:ser>
        <c:ser>
          <c:idx val="31"/>
          <c:order val="3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fuel_supply_costs.tsv!$AH$26:$AH$29</c:f>
              <c:numCache>
                <c:formatCode>General</c:formatCode>
                <c:ptCount val="4"/>
                <c:pt idx="0">
                  <c:v>36.0974506728</c:v>
                </c:pt>
                <c:pt idx="1">
                  <c:v>17.7876654222</c:v>
                </c:pt>
                <c:pt idx="2">
                  <c:v>55.167067428</c:v>
                </c:pt>
                <c:pt idx="3">
                  <c:v>13.8260834537</c:v>
                </c:pt>
              </c:numCache>
            </c:numRef>
          </c:val>
          <c:smooth val="0"/>
        </c:ser>
        <c:ser>
          <c:idx val="32"/>
          <c:order val="3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fuel_supply_costs.tsv!$AI$26:$AI$29</c:f>
              <c:numCache>
                <c:formatCode>General</c:formatCode>
                <c:ptCount val="4"/>
                <c:pt idx="0">
                  <c:v>32.8186609002</c:v>
                </c:pt>
                <c:pt idx="1">
                  <c:v>246.230707659</c:v>
                </c:pt>
                <c:pt idx="2">
                  <c:v>801.925070043</c:v>
                </c:pt>
                <c:pt idx="3">
                  <c:v>3345.87944856</c:v>
                </c:pt>
              </c:numCache>
            </c:numRef>
          </c:val>
          <c:smooth val="0"/>
        </c:ser>
        <c:ser>
          <c:idx val="33"/>
          <c:order val="3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fuel_supply_costs.tsv!$AJ$26:$AJ$29</c:f>
              <c:numCache>
                <c:formatCode>General</c:formatCode>
                <c:ptCount val="4"/>
                <c:pt idx="0">
                  <c:v>65.043363859</c:v>
                </c:pt>
                <c:pt idx="1">
                  <c:v>294.014129921</c:v>
                </c:pt>
                <c:pt idx="2">
                  <c:v>690.943632502</c:v>
                </c:pt>
                <c:pt idx="3">
                  <c:v>1800.76255201</c:v>
                </c:pt>
              </c:numCache>
            </c:numRef>
          </c:val>
          <c:smooth val="0"/>
        </c:ser>
        <c:ser>
          <c:idx val="34"/>
          <c:order val="3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fuel_supply_costs.tsv!$AK$26:$AK$29</c:f>
              <c:numCache>
                <c:formatCode>General</c:formatCode>
                <c:ptCount val="4"/>
                <c:pt idx="0">
                  <c:v>8.527826004670001</c:v>
                </c:pt>
                <c:pt idx="1">
                  <c:v>9.290649681670001</c:v>
                </c:pt>
                <c:pt idx="2">
                  <c:v>23.5177151055</c:v>
                </c:pt>
                <c:pt idx="3">
                  <c:v>85.3509119262</c:v>
                </c:pt>
              </c:numCache>
            </c:numRef>
          </c:val>
          <c:smooth val="0"/>
        </c:ser>
        <c:ser>
          <c:idx val="35"/>
          <c:order val="3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fuel_supply_costs.tsv!$AL$26:$AL$29</c:f>
              <c:numCache>
                <c:formatCode>General</c:formatCode>
                <c:ptCount val="4"/>
                <c:pt idx="0">
                  <c:v>24.6271681079</c:v>
                </c:pt>
                <c:pt idx="1">
                  <c:v>13.8837008888</c:v>
                </c:pt>
                <c:pt idx="2">
                  <c:v>16.9515296248</c:v>
                </c:pt>
                <c:pt idx="3">
                  <c:v>53.8556716774</c:v>
                </c:pt>
              </c:numCache>
            </c:numRef>
          </c:val>
          <c:smooth val="0"/>
        </c:ser>
        <c:ser>
          <c:idx val="36"/>
          <c:order val="3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fuel_supply_costs.tsv!$AM$26:$AM$29</c:f>
              <c:numCache>
                <c:formatCode>General</c:formatCode>
                <c:ptCount val="4"/>
                <c:pt idx="0">
                  <c:v>49.6890239443</c:v>
                </c:pt>
                <c:pt idx="1">
                  <c:v>76.714604301</c:v>
                </c:pt>
                <c:pt idx="2">
                  <c:v>55.8511568335</c:v>
                </c:pt>
                <c:pt idx="3">
                  <c:v>180.839883673</c:v>
                </c:pt>
              </c:numCache>
            </c:numRef>
          </c:val>
          <c:smooth val="0"/>
        </c:ser>
        <c:ser>
          <c:idx val="37"/>
          <c:order val="3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fuel_supply_costs.tsv!$AN$26:$AN$29</c:f>
              <c:numCache>
                <c:formatCode>General</c:formatCode>
                <c:ptCount val="4"/>
                <c:pt idx="0">
                  <c:v>52.8419729351</c:v>
                </c:pt>
                <c:pt idx="1">
                  <c:v>154.14858663</c:v>
                </c:pt>
                <c:pt idx="2">
                  <c:v>149.847052975</c:v>
                </c:pt>
                <c:pt idx="3">
                  <c:v>154.447887707</c:v>
                </c:pt>
              </c:numCache>
            </c:numRef>
          </c:val>
          <c:smooth val="0"/>
        </c:ser>
        <c:ser>
          <c:idx val="38"/>
          <c:order val="3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fuel_supply_costs.tsv!$AO$26:$AO$29</c:f>
              <c:numCache>
                <c:formatCode>General</c:formatCode>
                <c:ptCount val="4"/>
                <c:pt idx="0">
                  <c:v>38.2636737463</c:v>
                </c:pt>
                <c:pt idx="1">
                  <c:v>140.860539884</c:v>
                </c:pt>
                <c:pt idx="2">
                  <c:v>251.413515973</c:v>
                </c:pt>
                <c:pt idx="3">
                  <c:v>334.503091399</c:v>
                </c:pt>
              </c:numCache>
            </c:numRef>
          </c:val>
          <c:smooth val="0"/>
        </c:ser>
        <c:ser>
          <c:idx val="39"/>
          <c:order val="3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fuel_supply_costs.tsv!$AP$26:$AP$29</c:f>
              <c:numCache>
                <c:formatCode>General</c:formatCode>
                <c:ptCount val="4"/>
                <c:pt idx="0">
                  <c:v>10.9115464543</c:v>
                </c:pt>
                <c:pt idx="1">
                  <c:v>6.92501485954</c:v>
                </c:pt>
                <c:pt idx="2">
                  <c:v>7.78108211826</c:v>
                </c:pt>
                <c:pt idx="3">
                  <c:v>14.7047577479</c:v>
                </c:pt>
              </c:numCache>
            </c:numRef>
          </c:val>
          <c:smooth val="0"/>
        </c:ser>
        <c:ser>
          <c:idx val="40"/>
          <c:order val="3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fuel_supply_costs.tsv!$AQ$26:$AQ$29</c:f>
              <c:numCache>
                <c:formatCode>General</c:formatCode>
                <c:ptCount val="4"/>
                <c:pt idx="0">
                  <c:v>20.397875023</c:v>
                </c:pt>
                <c:pt idx="1">
                  <c:v>77.5528175279</c:v>
                </c:pt>
                <c:pt idx="2">
                  <c:v>124.762011129</c:v>
                </c:pt>
                <c:pt idx="3">
                  <c:v>376.806054728</c:v>
                </c:pt>
              </c:numCache>
            </c:numRef>
          </c:val>
          <c:smooth val="0"/>
        </c:ser>
        <c:ser>
          <c:idx val="41"/>
          <c:order val="4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fuel_supply_costs.tsv!$AR$26:$AR$29</c:f>
              <c:numCache>
                <c:formatCode>General</c:formatCode>
                <c:ptCount val="4"/>
                <c:pt idx="0">
                  <c:v>26.7576029691</c:v>
                </c:pt>
                <c:pt idx="1">
                  <c:v>41.072151913</c:v>
                </c:pt>
                <c:pt idx="2">
                  <c:v>57.0244311111</c:v>
                </c:pt>
                <c:pt idx="3">
                  <c:v>112.989447355</c:v>
                </c:pt>
              </c:numCache>
            </c:numRef>
          </c:val>
          <c:smooth val="0"/>
        </c:ser>
        <c:ser>
          <c:idx val="42"/>
          <c:order val="4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fuel_supply_costs.tsv!$AS$26:$AS$29</c:f>
              <c:numCache>
                <c:formatCode>General</c:formatCode>
                <c:ptCount val="4"/>
                <c:pt idx="0">
                  <c:v>59.6551564227</c:v>
                </c:pt>
                <c:pt idx="1">
                  <c:v>236.247849414</c:v>
                </c:pt>
                <c:pt idx="2">
                  <c:v>1030.49103722</c:v>
                </c:pt>
                <c:pt idx="3">
                  <c:v>3434.56863029</c:v>
                </c:pt>
              </c:numCache>
            </c:numRef>
          </c:val>
          <c:smooth val="0"/>
        </c:ser>
        <c:ser>
          <c:idx val="43"/>
          <c:order val="4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fuel_supply_costs.tsv!$AT$26:$AT$29</c:f>
              <c:numCache>
                <c:formatCode>General</c:formatCode>
                <c:ptCount val="4"/>
                <c:pt idx="0">
                  <c:v>43.6695982374</c:v>
                </c:pt>
                <c:pt idx="1">
                  <c:v>77.3756048682</c:v>
                </c:pt>
                <c:pt idx="2">
                  <c:v>95.4511884763</c:v>
                </c:pt>
                <c:pt idx="3">
                  <c:v>93.72152203740001</c:v>
                </c:pt>
              </c:numCache>
            </c:numRef>
          </c:val>
          <c:smooth val="0"/>
        </c:ser>
        <c:ser>
          <c:idx val="44"/>
          <c:order val="4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fuel_supply_costs.tsv!$AU$26:$AU$29</c:f>
              <c:numCache>
                <c:formatCode>General</c:formatCode>
                <c:ptCount val="4"/>
                <c:pt idx="0">
                  <c:v>17.0820829199</c:v>
                </c:pt>
                <c:pt idx="1">
                  <c:v>32.5409413286</c:v>
                </c:pt>
                <c:pt idx="2">
                  <c:v>37.5316970083</c:v>
                </c:pt>
                <c:pt idx="3">
                  <c:v>50.5193336518</c:v>
                </c:pt>
              </c:numCache>
            </c:numRef>
          </c:val>
          <c:smooth val="0"/>
        </c:ser>
        <c:ser>
          <c:idx val="45"/>
          <c:order val="4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fuel_supply_costs.tsv!$AV$26:$AV$29</c:f>
              <c:numCache>
                <c:formatCode>General</c:formatCode>
                <c:ptCount val="4"/>
                <c:pt idx="0">
                  <c:v>32.7110053247</c:v>
                </c:pt>
                <c:pt idx="1">
                  <c:v>123.195952236</c:v>
                </c:pt>
                <c:pt idx="2">
                  <c:v>331.631331571</c:v>
                </c:pt>
                <c:pt idx="3">
                  <c:v>910.929052276</c:v>
                </c:pt>
              </c:numCache>
            </c:numRef>
          </c:val>
          <c:smooth val="0"/>
        </c:ser>
        <c:ser>
          <c:idx val="46"/>
          <c:order val="4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fuel_supply_costs.tsv!$AW$26:$AW$29</c:f>
              <c:numCache>
                <c:formatCode>General</c:formatCode>
                <c:ptCount val="4"/>
                <c:pt idx="0">
                  <c:v>37.4544402377</c:v>
                </c:pt>
                <c:pt idx="1">
                  <c:v>45.8518758828</c:v>
                </c:pt>
                <c:pt idx="2">
                  <c:v>163.014698053</c:v>
                </c:pt>
                <c:pt idx="3">
                  <c:v>232.431623659</c:v>
                </c:pt>
              </c:numCache>
            </c:numRef>
          </c:val>
          <c:smooth val="0"/>
        </c:ser>
        <c:ser>
          <c:idx val="47"/>
          <c:order val="4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fuel_supply_costs.tsv!$AX$26:$AX$29</c:f>
              <c:numCache>
                <c:formatCode>General</c:formatCode>
                <c:ptCount val="4"/>
                <c:pt idx="0">
                  <c:v>30.7720094955</c:v>
                </c:pt>
                <c:pt idx="1">
                  <c:v>87.0381810958</c:v>
                </c:pt>
                <c:pt idx="2">
                  <c:v>285.082168714</c:v>
                </c:pt>
                <c:pt idx="3">
                  <c:v>298.434006677</c:v>
                </c:pt>
              </c:numCache>
            </c:numRef>
          </c:val>
          <c:smooth val="0"/>
        </c:ser>
        <c:ser>
          <c:idx val="48"/>
          <c:order val="4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fuel_supply_costs.tsv!$AY$26:$AY$29</c:f>
              <c:numCache>
                <c:formatCode>General</c:formatCode>
                <c:ptCount val="4"/>
                <c:pt idx="0">
                  <c:v>9.90501389643</c:v>
                </c:pt>
                <c:pt idx="1">
                  <c:v>8.78816544397</c:v>
                </c:pt>
                <c:pt idx="2">
                  <c:v>12.652397462</c:v>
                </c:pt>
                <c:pt idx="3">
                  <c:v>15.8974576165</c:v>
                </c:pt>
              </c:numCache>
            </c:numRef>
          </c:val>
          <c:smooth val="0"/>
        </c:ser>
        <c:ser>
          <c:idx val="49"/>
          <c:order val="4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fuel_supply_costs.tsv!$AZ$26:$AZ$29</c:f>
              <c:numCache>
                <c:formatCode>General</c:formatCode>
                <c:ptCount val="4"/>
                <c:pt idx="0">
                  <c:v>26.2077219507</c:v>
                </c:pt>
                <c:pt idx="1">
                  <c:v>33.4209867763</c:v>
                </c:pt>
                <c:pt idx="2">
                  <c:v>113.969060008</c:v>
                </c:pt>
                <c:pt idx="3">
                  <c:v>85.9299000247</c:v>
                </c:pt>
              </c:numCache>
            </c:numRef>
          </c:val>
          <c:smooth val="0"/>
        </c:ser>
        <c:ser>
          <c:idx val="50"/>
          <c:order val="4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fuel_supply_costs.tsv!$BA$26:$BA$29</c:f>
              <c:numCache>
                <c:formatCode>General</c:formatCode>
                <c:ptCount val="4"/>
                <c:pt idx="0">
                  <c:v>24.5893736663</c:v>
                </c:pt>
                <c:pt idx="1">
                  <c:v>40.8315714466</c:v>
                </c:pt>
                <c:pt idx="2">
                  <c:v>66.6083193417</c:v>
                </c:pt>
                <c:pt idx="3">
                  <c:v>125.446614835</c:v>
                </c:pt>
              </c:numCache>
            </c:numRef>
          </c:val>
          <c:smooth val="0"/>
        </c:ser>
        <c:ser>
          <c:idx val="51"/>
          <c:order val="5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fuel_supply_costs.tsv!$BB$26:$BB$29</c:f>
              <c:numCache>
                <c:formatCode>General</c:formatCode>
                <c:ptCount val="4"/>
                <c:pt idx="0">
                  <c:v>13.3674186483</c:v>
                </c:pt>
                <c:pt idx="1">
                  <c:v>10.3243793451</c:v>
                </c:pt>
                <c:pt idx="2">
                  <c:v>19.353105989</c:v>
                </c:pt>
                <c:pt idx="3">
                  <c:v>66.9282716352</c:v>
                </c:pt>
              </c:numCache>
            </c:numRef>
          </c:val>
          <c:smooth val="0"/>
        </c:ser>
        <c:ser>
          <c:idx val="52"/>
          <c:order val="5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fuel_supply_costs.tsv!$BC$26:$BC$29</c:f>
              <c:numCache>
                <c:formatCode>General</c:formatCode>
                <c:ptCount val="4"/>
                <c:pt idx="0">
                  <c:v>53.8159846629</c:v>
                </c:pt>
                <c:pt idx="1">
                  <c:v>112.852874279</c:v>
                </c:pt>
                <c:pt idx="2">
                  <c:v>533.472358575</c:v>
                </c:pt>
                <c:pt idx="3">
                  <c:v>801.63911817</c:v>
                </c:pt>
              </c:numCache>
            </c:numRef>
          </c:val>
          <c:smooth val="0"/>
        </c:ser>
        <c:ser>
          <c:idx val="53"/>
          <c:order val="5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fuel_supply_costs.tsv!$BD$26:$BD$29</c:f>
              <c:numCache>
                <c:formatCode>General</c:formatCode>
                <c:ptCount val="4"/>
                <c:pt idx="0">
                  <c:v>85.5933025575</c:v>
                </c:pt>
                <c:pt idx="1">
                  <c:v>306.932114931</c:v>
                </c:pt>
                <c:pt idx="2">
                  <c:v>650.170059962</c:v>
                </c:pt>
                <c:pt idx="3">
                  <c:v>345.903109643</c:v>
                </c:pt>
              </c:numCache>
            </c:numRef>
          </c:val>
          <c:smooth val="0"/>
        </c:ser>
        <c:ser>
          <c:idx val="54"/>
          <c:order val="5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fuel_supply_costs.tsv!$BE$26:$BE$29</c:f>
              <c:numCache>
                <c:formatCode>General</c:formatCode>
                <c:ptCount val="4"/>
                <c:pt idx="0">
                  <c:v>39.5442868938</c:v>
                </c:pt>
                <c:pt idx="1">
                  <c:v>34.7625866684</c:v>
                </c:pt>
                <c:pt idx="2">
                  <c:v>32.0245849876</c:v>
                </c:pt>
                <c:pt idx="3">
                  <c:v>65.4782972484</c:v>
                </c:pt>
              </c:numCache>
            </c:numRef>
          </c:val>
          <c:smooth val="0"/>
        </c:ser>
        <c:ser>
          <c:idx val="55"/>
          <c:order val="5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fuel_supply_costs.tsv!$BF$26:$BF$29</c:f>
              <c:numCache>
                <c:formatCode>General</c:formatCode>
                <c:ptCount val="4"/>
                <c:pt idx="0">
                  <c:v>18.8028524936</c:v>
                </c:pt>
                <c:pt idx="1">
                  <c:v>46.0312823676</c:v>
                </c:pt>
                <c:pt idx="2">
                  <c:v>276.764535393</c:v>
                </c:pt>
                <c:pt idx="3">
                  <c:v>788.760201729</c:v>
                </c:pt>
              </c:numCache>
            </c:numRef>
          </c:val>
          <c:smooth val="0"/>
        </c:ser>
        <c:ser>
          <c:idx val="56"/>
          <c:order val="5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fuel_supply_costs.tsv!$BG$26:$BG$29</c:f>
              <c:numCache>
                <c:formatCode>General</c:formatCode>
                <c:ptCount val="4"/>
                <c:pt idx="0">
                  <c:v>18.3069019166</c:v>
                </c:pt>
                <c:pt idx="1">
                  <c:v>17.4560354642</c:v>
                </c:pt>
                <c:pt idx="2">
                  <c:v>26.0842519745</c:v>
                </c:pt>
                <c:pt idx="3">
                  <c:v>36.3826971734</c:v>
                </c:pt>
              </c:numCache>
            </c:numRef>
          </c:val>
          <c:smooth val="0"/>
        </c:ser>
        <c:ser>
          <c:idx val="57"/>
          <c:order val="5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fuel_supply_costs.tsv!$BH$26:$BH$29</c:f>
              <c:numCache>
                <c:formatCode>General</c:formatCode>
                <c:ptCount val="4"/>
                <c:pt idx="0">
                  <c:v>29.7365940504</c:v>
                </c:pt>
                <c:pt idx="1">
                  <c:v>45.1234105082</c:v>
                </c:pt>
                <c:pt idx="2">
                  <c:v>89.0468528591</c:v>
                </c:pt>
                <c:pt idx="3">
                  <c:v>149.92415948</c:v>
                </c:pt>
              </c:numCache>
            </c:numRef>
          </c:val>
          <c:smooth val="0"/>
        </c:ser>
        <c:ser>
          <c:idx val="58"/>
          <c:order val="5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fuel_supply_costs.tsv!$BI$26:$BI$29</c:f>
              <c:numCache>
                <c:formatCode>General</c:formatCode>
                <c:ptCount val="4"/>
                <c:pt idx="0">
                  <c:v>32.5719135212</c:v>
                </c:pt>
                <c:pt idx="1">
                  <c:v>69.4287690808</c:v>
                </c:pt>
                <c:pt idx="2">
                  <c:v>100.516117961</c:v>
                </c:pt>
                <c:pt idx="3">
                  <c:v>159.191552317</c:v>
                </c:pt>
              </c:numCache>
            </c:numRef>
          </c:val>
          <c:smooth val="0"/>
        </c:ser>
        <c:ser>
          <c:idx val="59"/>
          <c:order val="5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fuel_supply_costs.tsv!$BJ$26:$BJ$29</c:f>
              <c:numCache>
                <c:formatCode>General</c:formatCode>
                <c:ptCount val="4"/>
                <c:pt idx="0">
                  <c:v>27.6146136098</c:v>
                </c:pt>
                <c:pt idx="1">
                  <c:v>34.8833942093</c:v>
                </c:pt>
                <c:pt idx="2">
                  <c:v>58.6184795021</c:v>
                </c:pt>
                <c:pt idx="3">
                  <c:v>217.632257001</c:v>
                </c:pt>
              </c:numCache>
            </c:numRef>
          </c:val>
          <c:smooth val="0"/>
        </c:ser>
        <c:ser>
          <c:idx val="60"/>
          <c:order val="5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fuel_supply_costs.tsv!$BK$26:$BK$29</c:f>
              <c:numCache>
                <c:formatCode>General</c:formatCode>
                <c:ptCount val="4"/>
                <c:pt idx="0">
                  <c:v>32.7945669841</c:v>
                </c:pt>
                <c:pt idx="1">
                  <c:v>112.595384454</c:v>
                </c:pt>
                <c:pt idx="2">
                  <c:v>242.325867004</c:v>
                </c:pt>
                <c:pt idx="3">
                  <c:v>429.133291357</c:v>
                </c:pt>
              </c:numCache>
            </c:numRef>
          </c:val>
          <c:smooth val="0"/>
        </c:ser>
        <c:ser>
          <c:idx val="61"/>
          <c:order val="6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fuel_supply_costs.tsv!$BL$26:$BL$29</c:f>
              <c:numCache>
                <c:formatCode>General</c:formatCode>
                <c:ptCount val="4"/>
                <c:pt idx="0">
                  <c:v>16.9429961531</c:v>
                </c:pt>
                <c:pt idx="1">
                  <c:v>36.2149162472</c:v>
                </c:pt>
                <c:pt idx="2">
                  <c:v>44.7346896716</c:v>
                </c:pt>
                <c:pt idx="3">
                  <c:v>79.33435300319999</c:v>
                </c:pt>
              </c:numCache>
            </c:numRef>
          </c:val>
          <c:smooth val="0"/>
        </c:ser>
        <c:ser>
          <c:idx val="62"/>
          <c:order val="6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fuel_supply_costs.tsv!$BM$26:$BM$29</c:f>
              <c:numCache>
                <c:formatCode>General</c:formatCode>
                <c:ptCount val="4"/>
                <c:pt idx="0">
                  <c:v>17.8543142718</c:v>
                </c:pt>
                <c:pt idx="1">
                  <c:v>32.3574702666</c:v>
                </c:pt>
                <c:pt idx="2">
                  <c:v>31.1989822823</c:v>
                </c:pt>
                <c:pt idx="3">
                  <c:v>102.259186079</c:v>
                </c:pt>
              </c:numCache>
            </c:numRef>
          </c:val>
          <c:smooth val="0"/>
        </c:ser>
        <c:ser>
          <c:idx val="63"/>
          <c:order val="6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fuel_supply_costs.tsv!$BN$26:$BN$29</c:f>
              <c:numCache>
                <c:formatCode>General</c:formatCode>
                <c:ptCount val="4"/>
                <c:pt idx="0">
                  <c:v>23.3829328575</c:v>
                </c:pt>
                <c:pt idx="1">
                  <c:v>51.0171091267</c:v>
                </c:pt>
                <c:pt idx="2">
                  <c:v>53.0918367915</c:v>
                </c:pt>
                <c:pt idx="3">
                  <c:v>123.8840445</c:v>
                </c:pt>
              </c:numCache>
            </c:numRef>
          </c:val>
          <c:smooth val="0"/>
        </c:ser>
        <c:ser>
          <c:idx val="64"/>
          <c:order val="6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fuel_supply_costs.tsv!$BO$26:$BO$29</c:f>
              <c:numCache>
                <c:formatCode>General</c:formatCode>
                <c:ptCount val="4"/>
                <c:pt idx="0">
                  <c:v>22.6877518836</c:v>
                </c:pt>
                <c:pt idx="1">
                  <c:v>13.7928112425</c:v>
                </c:pt>
                <c:pt idx="2">
                  <c:v>4.94247723141</c:v>
                </c:pt>
                <c:pt idx="3">
                  <c:v>19.0615155966</c:v>
                </c:pt>
              </c:numCache>
            </c:numRef>
          </c:val>
          <c:smooth val="0"/>
        </c:ser>
        <c:ser>
          <c:idx val="65"/>
          <c:order val="6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fuel_supply_costs.tsv!$BP$26:$BP$29</c:f>
              <c:numCache>
                <c:formatCode>General</c:formatCode>
                <c:ptCount val="4"/>
                <c:pt idx="0">
                  <c:v>19.2194328058</c:v>
                </c:pt>
                <c:pt idx="1">
                  <c:v>46.562339537</c:v>
                </c:pt>
                <c:pt idx="2">
                  <c:v>71.9316978666</c:v>
                </c:pt>
                <c:pt idx="3">
                  <c:v>326.227337368</c:v>
                </c:pt>
              </c:numCache>
            </c:numRef>
          </c:val>
          <c:smooth val="0"/>
        </c:ser>
        <c:ser>
          <c:idx val="66"/>
          <c:order val="6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fuel_supply_costs.tsv!$BQ$26:$BQ$29</c:f>
              <c:numCache>
                <c:formatCode>General</c:formatCode>
                <c:ptCount val="4"/>
                <c:pt idx="0">
                  <c:v>16.3793454963</c:v>
                </c:pt>
                <c:pt idx="1">
                  <c:v>7.43664212692</c:v>
                </c:pt>
                <c:pt idx="2">
                  <c:v>8.53919696177</c:v>
                </c:pt>
                <c:pt idx="3">
                  <c:v>16.8077657889</c:v>
                </c:pt>
              </c:numCache>
            </c:numRef>
          </c:val>
          <c:smooth val="0"/>
        </c:ser>
        <c:ser>
          <c:idx val="67"/>
          <c:order val="6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fuel_supply_costs.tsv!$BR$26:$BR$29</c:f>
              <c:numCache>
                <c:formatCode>General</c:formatCode>
                <c:ptCount val="4"/>
                <c:pt idx="0">
                  <c:v>19.8205226988</c:v>
                </c:pt>
                <c:pt idx="1">
                  <c:v>52.4752739418</c:v>
                </c:pt>
                <c:pt idx="2">
                  <c:v>242.806581751</c:v>
                </c:pt>
                <c:pt idx="3">
                  <c:v>751.741070951</c:v>
                </c:pt>
              </c:numCache>
            </c:numRef>
          </c:val>
          <c:smooth val="0"/>
        </c:ser>
        <c:ser>
          <c:idx val="68"/>
          <c:order val="6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fuel_supply_costs.tsv!$BS$26:$BS$29</c:f>
              <c:numCache>
                <c:formatCode>General</c:formatCode>
                <c:ptCount val="4"/>
                <c:pt idx="0">
                  <c:v>22.1393187564</c:v>
                </c:pt>
                <c:pt idx="1">
                  <c:v>23.2668317594</c:v>
                </c:pt>
                <c:pt idx="2">
                  <c:v>143.648178194</c:v>
                </c:pt>
                <c:pt idx="3">
                  <c:v>157.030495423</c:v>
                </c:pt>
              </c:numCache>
            </c:numRef>
          </c:val>
          <c:smooth val="0"/>
        </c:ser>
        <c:ser>
          <c:idx val="69"/>
          <c:order val="6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fuel_supply_costs.tsv!$BT$26:$BT$29</c:f>
              <c:numCache>
                <c:formatCode>General</c:formatCode>
                <c:ptCount val="4"/>
                <c:pt idx="0">
                  <c:v>25.7586617132</c:v>
                </c:pt>
                <c:pt idx="1">
                  <c:v>68.4026026625</c:v>
                </c:pt>
                <c:pt idx="2">
                  <c:v>378.250814211</c:v>
                </c:pt>
                <c:pt idx="3">
                  <c:v>499.520532792</c:v>
                </c:pt>
              </c:numCache>
            </c:numRef>
          </c:val>
          <c:smooth val="0"/>
        </c:ser>
        <c:ser>
          <c:idx val="70"/>
          <c:order val="6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fuel_supply_costs.tsv!$BU$26:$BU$29</c:f>
              <c:numCache>
                <c:formatCode>General</c:formatCode>
                <c:ptCount val="4"/>
                <c:pt idx="0">
                  <c:v>26.8207391785</c:v>
                </c:pt>
                <c:pt idx="1">
                  <c:v>98.7520163474</c:v>
                </c:pt>
                <c:pt idx="2">
                  <c:v>305.967262277</c:v>
                </c:pt>
                <c:pt idx="3">
                  <c:v>750.687382577</c:v>
                </c:pt>
              </c:numCache>
            </c:numRef>
          </c:val>
          <c:smooth val="0"/>
        </c:ser>
        <c:ser>
          <c:idx val="71"/>
          <c:order val="7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fuel_supply_costs.tsv!$BV$26:$BV$29</c:f>
              <c:numCache>
                <c:formatCode>General</c:formatCode>
                <c:ptCount val="4"/>
                <c:pt idx="0">
                  <c:v>20.1658952747</c:v>
                </c:pt>
                <c:pt idx="1">
                  <c:v>18.3620877941</c:v>
                </c:pt>
                <c:pt idx="2">
                  <c:v>33.9554163139</c:v>
                </c:pt>
                <c:pt idx="3">
                  <c:v>70.0448820642</c:v>
                </c:pt>
              </c:numCache>
            </c:numRef>
          </c:val>
          <c:smooth val="0"/>
        </c:ser>
        <c:ser>
          <c:idx val="72"/>
          <c:order val="7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fuel_supply_costs.tsv!$BW$26:$BW$29</c:f>
              <c:numCache>
                <c:formatCode>General</c:formatCode>
                <c:ptCount val="4"/>
                <c:pt idx="0">
                  <c:v>36.2079799205</c:v>
                </c:pt>
                <c:pt idx="1">
                  <c:v>38.4621751734</c:v>
                </c:pt>
                <c:pt idx="2">
                  <c:v>98.22543432729999</c:v>
                </c:pt>
                <c:pt idx="3">
                  <c:v>236.202875496</c:v>
                </c:pt>
              </c:numCache>
            </c:numRef>
          </c:val>
          <c:smooth val="0"/>
        </c:ser>
        <c:ser>
          <c:idx val="73"/>
          <c:order val="7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fuel_supply_costs.tsv!$BX$26:$BX$29</c:f>
              <c:numCache>
                <c:formatCode>General</c:formatCode>
                <c:ptCount val="4"/>
                <c:pt idx="0">
                  <c:v>43.8881784919</c:v>
                </c:pt>
                <c:pt idx="1">
                  <c:v>100.219673978</c:v>
                </c:pt>
                <c:pt idx="2">
                  <c:v>135.399328663</c:v>
                </c:pt>
                <c:pt idx="3">
                  <c:v>394.90162779</c:v>
                </c:pt>
              </c:numCache>
            </c:numRef>
          </c:val>
          <c:smooth val="0"/>
        </c:ser>
        <c:ser>
          <c:idx val="74"/>
          <c:order val="7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fuel_supply_costs.tsv!$BY$26:$BY$29</c:f>
              <c:numCache>
                <c:formatCode>General</c:formatCode>
                <c:ptCount val="4"/>
                <c:pt idx="0">
                  <c:v>9.95837991214</c:v>
                </c:pt>
                <c:pt idx="1">
                  <c:v>34.185813728</c:v>
                </c:pt>
                <c:pt idx="2">
                  <c:v>55.5426167118</c:v>
                </c:pt>
                <c:pt idx="3">
                  <c:v>119.462986464</c:v>
                </c:pt>
              </c:numCache>
            </c:numRef>
          </c:val>
          <c:smooth val="0"/>
        </c:ser>
        <c:ser>
          <c:idx val="75"/>
          <c:order val="7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fuel_supply_costs.tsv!$BZ$26:$BZ$29</c:f>
              <c:numCache>
                <c:formatCode>General</c:formatCode>
                <c:ptCount val="4"/>
                <c:pt idx="0">
                  <c:v>39.536342345</c:v>
                </c:pt>
                <c:pt idx="1">
                  <c:v>55.3041727932</c:v>
                </c:pt>
                <c:pt idx="2">
                  <c:v>99.2617285797</c:v>
                </c:pt>
                <c:pt idx="3">
                  <c:v>64.6941627099</c:v>
                </c:pt>
              </c:numCache>
            </c:numRef>
          </c:val>
          <c:smooth val="0"/>
        </c:ser>
        <c:ser>
          <c:idx val="76"/>
          <c:order val="7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fuel_supply_costs.tsv!$CA$26:$CA$29</c:f>
              <c:numCache>
                <c:formatCode>General</c:formatCode>
                <c:ptCount val="4"/>
                <c:pt idx="0">
                  <c:v>28.5733669841</c:v>
                </c:pt>
                <c:pt idx="1">
                  <c:v>20.0711261189</c:v>
                </c:pt>
                <c:pt idx="2">
                  <c:v>16.771406617</c:v>
                </c:pt>
                <c:pt idx="3">
                  <c:v>30.0802363399</c:v>
                </c:pt>
              </c:numCache>
            </c:numRef>
          </c:val>
          <c:smooth val="0"/>
        </c:ser>
        <c:ser>
          <c:idx val="77"/>
          <c:order val="7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fuel_supply_costs.tsv!$CB$26:$CB$29</c:f>
              <c:numCache>
                <c:formatCode>General</c:formatCode>
                <c:ptCount val="4"/>
                <c:pt idx="0">
                  <c:v>54.2334027873</c:v>
                </c:pt>
                <c:pt idx="1">
                  <c:v>126.112279413</c:v>
                </c:pt>
                <c:pt idx="2">
                  <c:v>176.098114128</c:v>
                </c:pt>
                <c:pt idx="3">
                  <c:v>400.362664541</c:v>
                </c:pt>
              </c:numCache>
            </c:numRef>
          </c:val>
          <c:smooth val="0"/>
        </c:ser>
        <c:ser>
          <c:idx val="78"/>
          <c:order val="7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fuel_supply_costs.tsv!$CC$26:$CC$29</c:f>
              <c:numCache>
                <c:formatCode>General</c:formatCode>
                <c:ptCount val="4"/>
                <c:pt idx="0">
                  <c:v>14.7543785024</c:v>
                </c:pt>
                <c:pt idx="1">
                  <c:v>23.5179072197</c:v>
                </c:pt>
                <c:pt idx="2">
                  <c:v>66.726290099</c:v>
                </c:pt>
                <c:pt idx="3">
                  <c:v>458.610827185</c:v>
                </c:pt>
              </c:numCache>
            </c:numRef>
          </c:val>
          <c:smooth val="0"/>
        </c:ser>
        <c:ser>
          <c:idx val="79"/>
          <c:order val="7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fuel_supply_costs.tsv!$CD$26:$CD$29</c:f>
              <c:numCache>
                <c:formatCode>General</c:formatCode>
                <c:ptCount val="4"/>
                <c:pt idx="0">
                  <c:v>21.676440194</c:v>
                </c:pt>
                <c:pt idx="1">
                  <c:v>33.9282746289</c:v>
                </c:pt>
                <c:pt idx="2">
                  <c:v>66.2302934905</c:v>
                </c:pt>
                <c:pt idx="3">
                  <c:v>381.915125743</c:v>
                </c:pt>
              </c:numCache>
            </c:numRef>
          </c:val>
          <c:smooth val="0"/>
        </c:ser>
        <c:ser>
          <c:idx val="80"/>
          <c:order val="7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fuel_supply_costs.tsv!$CE$26:$CE$29</c:f>
              <c:numCache>
                <c:formatCode>General</c:formatCode>
                <c:ptCount val="4"/>
                <c:pt idx="0">
                  <c:v>51.1661715955</c:v>
                </c:pt>
                <c:pt idx="1">
                  <c:v>100.031597188</c:v>
                </c:pt>
                <c:pt idx="2">
                  <c:v>458.929632351</c:v>
                </c:pt>
                <c:pt idx="3">
                  <c:v>1201.00111721</c:v>
                </c:pt>
              </c:numCache>
            </c:numRef>
          </c:val>
          <c:smooth val="0"/>
        </c:ser>
        <c:ser>
          <c:idx val="81"/>
          <c:order val="8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fuel_supply_costs.tsv!$CF$26:$CF$29</c:f>
              <c:numCache>
                <c:formatCode>General</c:formatCode>
                <c:ptCount val="4"/>
                <c:pt idx="0">
                  <c:v>15.0043015938</c:v>
                </c:pt>
                <c:pt idx="1">
                  <c:v>9.89722397625</c:v>
                </c:pt>
                <c:pt idx="2">
                  <c:v>29.9077649755</c:v>
                </c:pt>
                <c:pt idx="3">
                  <c:v>66.37632852599999</c:v>
                </c:pt>
              </c:numCache>
            </c:numRef>
          </c:val>
          <c:smooth val="0"/>
        </c:ser>
        <c:ser>
          <c:idx val="82"/>
          <c:order val="8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fuel_supply_costs.tsv!$CG$26:$CG$29</c:f>
              <c:numCache>
                <c:formatCode>General</c:formatCode>
                <c:ptCount val="4"/>
                <c:pt idx="0">
                  <c:v>17.7257226037</c:v>
                </c:pt>
                <c:pt idx="1">
                  <c:v>14.1258503701</c:v>
                </c:pt>
                <c:pt idx="2">
                  <c:v>7.22220427196</c:v>
                </c:pt>
                <c:pt idx="3">
                  <c:v>9.11702296237</c:v>
                </c:pt>
              </c:numCache>
            </c:numRef>
          </c:val>
          <c:smooth val="0"/>
        </c:ser>
        <c:ser>
          <c:idx val="83"/>
          <c:order val="8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fuel_supply_costs.tsv!$CH$26:$CH$29</c:f>
              <c:numCache>
                <c:formatCode>General</c:formatCode>
                <c:ptCount val="4"/>
                <c:pt idx="0">
                  <c:v>22.9049784904</c:v>
                </c:pt>
                <c:pt idx="1">
                  <c:v>38.3864678481</c:v>
                </c:pt>
                <c:pt idx="2">
                  <c:v>224.054264028</c:v>
                </c:pt>
                <c:pt idx="3">
                  <c:v>451.258538672</c:v>
                </c:pt>
              </c:numCache>
            </c:numRef>
          </c:val>
          <c:smooth val="0"/>
        </c:ser>
        <c:ser>
          <c:idx val="84"/>
          <c:order val="8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fuel_supply_costs.tsv!$CI$26:$CI$29</c:f>
              <c:numCache>
                <c:formatCode>General</c:formatCode>
                <c:ptCount val="4"/>
                <c:pt idx="0">
                  <c:v>38.94821467</c:v>
                </c:pt>
                <c:pt idx="1">
                  <c:v>26.4108623633</c:v>
                </c:pt>
                <c:pt idx="2">
                  <c:v>40.6136266977</c:v>
                </c:pt>
                <c:pt idx="3">
                  <c:v>86.1507491003</c:v>
                </c:pt>
              </c:numCache>
            </c:numRef>
          </c:val>
          <c:smooth val="0"/>
        </c:ser>
        <c:ser>
          <c:idx val="85"/>
          <c:order val="8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fuel_supply_costs.tsv!$CJ$26:$CJ$29</c:f>
              <c:numCache>
                <c:formatCode>General</c:formatCode>
                <c:ptCount val="4"/>
                <c:pt idx="0">
                  <c:v>27.5929536403</c:v>
                </c:pt>
                <c:pt idx="1">
                  <c:v>14.461117919</c:v>
                </c:pt>
                <c:pt idx="2">
                  <c:v>15.7550146439</c:v>
                </c:pt>
                <c:pt idx="3">
                  <c:v>8.95564856919</c:v>
                </c:pt>
              </c:numCache>
            </c:numRef>
          </c:val>
          <c:smooth val="0"/>
        </c:ser>
        <c:ser>
          <c:idx val="86"/>
          <c:order val="8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fuel_supply_costs.tsv!$CK$26:$CK$29</c:f>
              <c:numCache>
                <c:formatCode>General</c:formatCode>
                <c:ptCount val="4"/>
                <c:pt idx="0">
                  <c:v>19.8741104594</c:v>
                </c:pt>
                <c:pt idx="1">
                  <c:v>51.3115187764</c:v>
                </c:pt>
                <c:pt idx="2">
                  <c:v>169.769534056</c:v>
                </c:pt>
                <c:pt idx="3">
                  <c:v>255.871459108</c:v>
                </c:pt>
              </c:numCache>
            </c:numRef>
          </c:val>
          <c:smooth val="0"/>
        </c:ser>
        <c:ser>
          <c:idx val="87"/>
          <c:order val="8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fuel_supply_costs.tsv!$CL$26:$CL$29</c:f>
              <c:numCache>
                <c:formatCode>General</c:formatCode>
                <c:ptCount val="4"/>
                <c:pt idx="0">
                  <c:v>21.7887997271</c:v>
                </c:pt>
                <c:pt idx="1">
                  <c:v>36.7058219943</c:v>
                </c:pt>
                <c:pt idx="2">
                  <c:v>34.5453153372</c:v>
                </c:pt>
                <c:pt idx="3">
                  <c:v>18.2857295353</c:v>
                </c:pt>
              </c:numCache>
            </c:numRef>
          </c:val>
          <c:smooth val="0"/>
        </c:ser>
        <c:ser>
          <c:idx val="88"/>
          <c:order val="8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fuel_supply_costs.tsv!$CM$26:$CM$29</c:f>
              <c:numCache>
                <c:formatCode>General</c:formatCode>
                <c:ptCount val="4"/>
                <c:pt idx="0">
                  <c:v>45.6785517284</c:v>
                </c:pt>
                <c:pt idx="1">
                  <c:v>61.5660330147</c:v>
                </c:pt>
                <c:pt idx="2">
                  <c:v>144.076533604</c:v>
                </c:pt>
                <c:pt idx="3">
                  <c:v>234.488762758</c:v>
                </c:pt>
              </c:numCache>
            </c:numRef>
          </c:val>
          <c:smooth val="0"/>
        </c:ser>
        <c:ser>
          <c:idx val="89"/>
          <c:order val="8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fuel_supply_costs.tsv!$CN$26:$CN$29</c:f>
              <c:numCache>
                <c:formatCode>General</c:formatCode>
                <c:ptCount val="4"/>
                <c:pt idx="0">
                  <c:v>56.4690357548</c:v>
                </c:pt>
                <c:pt idx="1">
                  <c:v>97.9949910739</c:v>
                </c:pt>
                <c:pt idx="2">
                  <c:v>303.363028383</c:v>
                </c:pt>
                <c:pt idx="3">
                  <c:v>530.639526476</c:v>
                </c:pt>
              </c:numCache>
            </c:numRef>
          </c:val>
          <c:smooth val="0"/>
        </c:ser>
        <c:ser>
          <c:idx val="90"/>
          <c:order val="8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fuel_supply_costs.tsv!$CO$26:$CO$29</c:f>
              <c:numCache>
                <c:formatCode>General</c:formatCode>
                <c:ptCount val="4"/>
                <c:pt idx="0">
                  <c:v>22.8641170529</c:v>
                </c:pt>
                <c:pt idx="1">
                  <c:v>78.6445278183</c:v>
                </c:pt>
                <c:pt idx="2">
                  <c:v>78.0090462292</c:v>
                </c:pt>
                <c:pt idx="3">
                  <c:v>182.272204114</c:v>
                </c:pt>
              </c:numCache>
            </c:numRef>
          </c:val>
          <c:smooth val="0"/>
        </c:ser>
        <c:ser>
          <c:idx val="91"/>
          <c:order val="9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fuel_supply_costs.tsv!$CP$26:$CP$29</c:f>
              <c:numCache>
                <c:formatCode>General</c:formatCode>
                <c:ptCount val="4"/>
                <c:pt idx="0">
                  <c:v>34.1267557302</c:v>
                </c:pt>
                <c:pt idx="1">
                  <c:v>76.6500992211</c:v>
                </c:pt>
                <c:pt idx="2">
                  <c:v>163.104165905</c:v>
                </c:pt>
                <c:pt idx="3">
                  <c:v>422.10260697</c:v>
                </c:pt>
              </c:numCache>
            </c:numRef>
          </c:val>
          <c:smooth val="0"/>
        </c:ser>
        <c:ser>
          <c:idx val="92"/>
          <c:order val="9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fuel_supply_costs.tsv!$CQ$26:$CQ$29</c:f>
              <c:numCache>
                <c:formatCode>General</c:formatCode>
                <c:ptCount val="4"/>
                <c:pt idx="0">
                  <c:v>25.9515487942</c:v>
                </c:pt>
                <c:pt idx="1">
                  <c:v>64.9214645759</c:v>
                </c:pt>
                <c:pt idx="2">
                  <c:v>139.155135018</c:v>
                </c:pt>
                <c:pt idx="3">
                  <c:v>120.625108765</c:v>
                </c:pt>
              </c:numCache>
            </c:numRef>
          </c:val>
          <c:smooth val="0"/>
        </c:ser>
        <c:ser>
          <c:idx val="93"/>
          <c:order val="9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fuel_supply_costs.tsv!$CR$26:$CR$29</c:f>
              <c:numCache>
                <c:formatCode>General</c:formatCode>
                <c:ptCount val="4"/>
                <c:pt idx="0">
                  <c:v>17.9490113652</c:v>
                </c:pt>
                <c:pt idx="1">
                  <c:v>42.3962966329</c:v>
                </c:pt>
                <c:pt idx="2">
                  <c:v>61.4558363534</c:v>
                </c:pt>
                <c:pt idx="3">
                  <c:v>233.094025093</c:v>
                </c:pt>
              </c:numCache>
            </c:numRef>
          </c:val>
          <c:smooth val="0"/>
        </c:ser>
        <c:ser>
          <c:idx val="94"/>
          <c:order val="9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fuel_supply_costs.tsv!$CS$26:$CS$29</c:f>
              <c:numCache>
                <c:formatCode>General</c:formatCode>
                <c:ptCount val="4"/>
                <c:pt idx="0">
                  <c:v>20.2254958761</c:v>
                </c:pt>
                <c:pt idx="1">
                  <c:v>57.62802099</c:v>
                </c:pt>
                <c:pt idx="2">
                  <c:v>204.183436117</c:v>
                </c:pt>
                <c:pt idx="3">
                  <c:v>260.829543006</c:v>
                </c:pt>
              </c:numCache>
            </c:numRef>
          </c:val>
          <c:smooth val="0"/>
        </c:ser>
        <c:ser>
          <c:idx val="95"/>
          <c:order val="9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fuel_supply_costs.tsv!$CT$26:$CT$29</c:f>
              <c:numCache>
                <c:formatCode>General</c:formatCode>
                <c:ptCount val="4"/>
                <c:pt idx="0">
                  <c:v>16.5692743569</c:v>
                </c:pt>
                <c:pt idx="1">
                  <c:v>14.1800305146</c:v>
                </c:pt>
                <c:pt idx="2">
                  <c:v>24.2331542522</c:v>
                </c:pt>
                <c:pt idx="3">
                  <c:v>60.8693408687</c:v>
                </c:pt>
              </c:numCache>
            </c:numRef>
          </c:val>
          <c:smooth val="0"/>
        </c:ser>
        <c:ser>
          <c:idx val="96"/>
          <c:order val="9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fuel_supply_costs.tsv!$CU$26:$CU$29</c:f>
              <c:numCache>
                <c:formatCode>General</c:formatCode>
                <c:ptCount val="4"/>
                <c:pt idx="0">
                  <c:v>48.2348875715</c:v>
                </c:pt>
                <c:pt idx="1">
                  <c:v>44.3783276995</c:v>
                </c:pt>
                <c:pt idx="2">
                  <c:v>95.4375467661</c:v>
                </c:pt>
                <c:pt idx="3">
                  <c:v>86.33030080429999</c:v>
                </c:pt>
              </c:numCache>
            </c:numRef>
          </c:val>
          <c:smooth val="0"/>
        </c:ser>
        <c:ser>
          <c:idx val="97"/>
          <c:order val="9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fuel_supply_costs.tsv!$CV$26:$CV$29</c:f>
              <c:numCache>
                <c:formatCode>General</c:formatCode>
                <c:ptCount val="4"/>
                <c:pt idx="0">
                  <c:v>64.07874963659999</c:v>
                </c:pt>
                <c:pt idx="1">
                  <c:v>80.96217225940001</c:v>
                </c:pt>
                <c:pt idx="2">
                  <c:v>93.3423019403</c:v>
                </c:pt>
                <c:pt idx="3">
                  <c:v>46.8788391741</c:v>
                </c:pt>
              </c:numCache>
            </c:numRef>
          </c:val>
          <c:smooth val="0"/>
        </c:ser>
        <c:ser>
          <c:idx val="98"/>
          <c:order val="9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fuel_supply_costs.tsv!$CW$26:$CW$29</c:f>
              <c:numCache>
                <c:formatCode>General</c:formatCode>
                <c:ptCount val="4"/>
                <c:pt idx="0">
                  <c:v>33.2022034068</c:v>
                </c:pt>
                <c:pt idx="1">
                  <c:v>56.9945143276</c:v>
                </c:pt>
                <c:pt idx="2">
                  <c:v>124.731851313</c:v>
                </c:pt>
                <c:pt idx="3">
                  <c:v>135.671002327</c:v>
                </c:pt>
              </c:numCache>
            </c:numRef>
          </c:val>
          <c:smooth val="0"/>
        </c:ser>
        <c:ser>
          <c:idx val="99"/>
          <c:order val="9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fuel_supply_costs.tsv!$CX$26:$CX$29</c:f>
              <c:numCache>
                <c:formatCode>General</c:formatCode>
                <c:ptCount val="4"/>
                <c:pt idx="0">
                  <c:v>70.655736625</c:v>
                </c:pt>
                <c:pt idx="1">
                  <c:v>132.309561118</c:v>
                </c:pt>
                <c:pt idx="2">
                  <c:v>99.42555710009999</c:v>
                </c:pt>
                <c:pt idx="3">
                  <c:v>133.668104246</c:v>
                </c:pt>
              </c:numCache>
            </c:numRef>
          </c:val>
          <c:smooth val="0"/>
        </c:ser>
        <c:ser>
          <c:idx val="100"/>
          <c:order val="9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fuel_supply_costs.tsv!$CY$26:$CY$29</c:f>
              <c:numCache>
                <c:formatCode>General</c:formatCode>
                <c:ptCount val="4"/>
                <c:pt idx="0">
                  <c:v>13.7017403244</c:v>
                </c:pt>
                <c:pt idx="1">
                  <c:v>23.2869376162</c:v>
                </c:pt>
                <c:pt idx="2">
                  <c:v>100.098209972</c:v>
                </c:pt>
                <c:pt idx="3">
                  <c:v>138.779041207</c:v>
                </c:pt>
              </c:numCache>
            </c:numRef>
          </c:val>
          <c:smooth val="0"/>
        </c:ser>
        <c:ser>
          <c:idx val="101"/>
          <c:order val="10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fuel_supply_costs.tsv!$CZ$26:$CZ$29</c:f>
              <c:numCache>
                <c:formatCode>General</c:formatCode>
                <c:ptCount val="4"/>
                <c:pt idx="0">
                  <c:v>46.2895581251</c:v>
                </c:pt>
                <c:pt idx="1">
                  <c:v>31.83089197</c:v>
                </c:pt>
                <c:pt idx="2">
                  <c:v>67.7794588114</c:v>
                </c:pt>
                <c:pt idx="3">
                  <c:v>181.709003574</c:v>
                </c:pt>
              </c:numCache>
            </c:numRef>
          </c:val>
          <c:smooth val="0"/>
        </c:ser>
        <c:ser>
          <c:idx val="102"/>
          <c:order val="10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fuel_supply_costs.tsv!$DA$26:$DA$29</c:f>
              <c:numCache>
                <c:formatCode>General</c:formatCode>
                <c:ptCount val="4"/>
                <c:pt idx="0">
                  <c:v>22.8912669829</c:v>
                </c:pt>
                <c:pt idx="1">
                  <c:v>28.6810223671</c:v>
                </c:pt>
                <c:pt idx="2">
                  <c:v>81.9519210394</c:v>
                </c:pt>
                <c:pt idx="3">
                  <c:v>178.854225762</c:v>
                </c:pt>
              </c:numCache>
            </c:numRef>
          </c:val>
          <c:smooth val="0"/>
        </c:ser>
        <c:ser>
          <c:idx val="103"/>
          <c:order val="10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fuel_supply_costs.tsv!$DB$26:$DB$29</c:f>
              <c:numCache>
                <c:formatCode>General</c:formatCode>
                <c:ptCount val="4"/>
                <c:pt idx="0">
                  <c:v>19.5683773942</c:v>
                </c:pt>
                <c:pt idx="1">
                  <c:v>17.9393517203</c:v>
                </c:pt>
                <c:pt idx="2">
                  <c:v>24.4481899283</c:v>
                </c:pt>
                <c:pt idx="3">
                  <c:v>18.5989707581</c:v>
                </c:pt>
              </c:numCache>
            </c:numRef>
          </c:val>
          <c:smooth val="0"/>
        </c:ser>
        <c:ser>
          <c:idx val="104"/>
          <c:order val="10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fuel_supply_costs.tsv!$DC$26:$DC$29</c:f>
              <c:numCache>
                <c:formatCode>General</c:formatCode>
                <c:ptCount val="4"/>
                <c:pt idx="0">
                  <c:v>10.3660963726</c:v>
                </c:pt>
                <c:pt idx="1">
                  <c:v>6.05984697285</c:v>
                </c:pt>
                <c:pt idx="2">
                  <c:v>4.20634963493</c:v>
                </c:pt>
                <c:pt idx="3">
                  <c:v>8.88487510453</c:v>
                </c:pt>
              </c:numCache>
            </c:numRef>
          </c:val>
          <c:smooth val="0"/>
        </c:ser>
        <c:ser>
          <c:idx val="105"/>
          <c:order val="10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fuel_supply_costs.tsv!$DD$26:$DD$29</c:f>
              <c:numCache>
                <c:formatCode>General</c:formatCode>
                <c:ptCount val="4"/>
                <c:pt idx="0">
                  <c:v>11.3244649131</c:v>
                </c:pt>
                <c:pt idx="1">
                  <c:v>14.4620470187</c:v>
                </c:pt>
                <c:pt idx="2">
                  <c:v>26.8671049612</c:v>
                </c:pt>
                <c:pt idx="3">
                  <c:v>50.6257916159</c:v>
                </c:pt>
              </c:numCache>
            </c:numRef>
          </c:val>
          <c:smooth val="0"/>
        </c:ser>
        <c:ser>
          <c:idx val="106"/>
          <c:order val="10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fuel_supply_costs.tsv!$DE$26:$DE$29</c:f>
              <c:numCache>
                <c:formatCode>General</c:formatCode>
                <c:ptCount val="4"/>
                <c:pt idx="0">
                  <c:v>60.3336732229</c:v>
                </c:pt>
                <c:pt idx="1">
                  <c:v>85.1917360522</c:v>
                </c:pt>
                <c:pt idx="2">
                  <c:v>148.503107444</c:v>
                </c:pt>
                <c:pt idx="3">
                  <c:v>239.729931228</c:v>
                </c:pt>
              </c:numCache>
            </c:numRef>
          </c:val>
          <c:smooth val="0"/>
        </c:ser>
        <c:ser>
          <c:idx val="107"/>
          <c:order val="10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fuel_supply_costs.tsv!$DF$26:$DF$29</c:f>
              <c:numCache>
                <c:formatCode>General</c:formatCode>
                <c:ptCount val="4"/>
                <c:pt idx="0">
                  <c:v>23.5730320295</c:v>
                </c:pt>
                <c:pt idx="1">
                  <c:v>42.23871607</c:v>
                </c:pt>
                <c:pt idx="2">
                  <c:v>417.163179522</c:v>
                </c:pt>
                <c:pt idx="3">
                  <c:v>242.434051545</c:v>
                </c:pt>
              </c:numCache>
            </c:numRef>
          </c:val>
          <c:smooth val="0"/>
        </c:ser>
        <c:ser>
          <c:idx val="108"/>
          <c:order val="10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fuel_supply_costs.tsv!$DG$26:$DG$29</c:f>
              <c:numCache>
                <c:formatCode>General</c:formatCode>
                <c:ptCount val="4"/>
                <c:pt idx="0">
                  <c:v>36.7842513924</c:v>
                </c:pt>
                <c:pt idx="1">
                  <c:v>29.2067123829</c:v>
                </c:pt>
                <c:pt idx="2">
                  <c:v>21.908067223</c:v>
                </c:pt>
                <c:pt idx="3">
                  <c:v>39.6077482928</c:v>
                </c:pt>
              </c:numCache>
            </c:numRef>
          </c:val>
          <c:smooth val="0"/>
        </c:ser>
        <c:ser>
          <c:idx val="109"/>
          <c:order val="10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fuel_supply_costs.tsv!$DH$26:$DH$29</c:f>
              <c:numCache>
                <c:formatCode>General</c:formatCode>
                <c:ptCount val="4"/>
                <c:pt idx="0">
                  <c:v>12.7013127476</c:v>
                </c:pt>
                <c:pt idx="1">
                  <c:v>21.0563292891</c:v>
                </c:pt>
                <c:pt idx="2">
                  <c:v>64.7274107974</c:v>
                </c:pt>
                <c:pt idx="3">
                  <c:v>182.64547328</c:v>
                </c:pt>
              </c:numCache>
            </c:numRef>
          </c:val>
          <c:smooth val="0"/>
        </c:ser>
        <c:ser>
          <c:idx val="110"/>
          <c:order val="10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fuel_supply_costs.tsv!$DI$26:$DI$29</c:f>
              <c:numCache>
                <c:formatCode>General</c:formatCode>
                <c:ptCount val="4"/>
                <c:pt idx="0">
                  <c:v>42.9400246259</c:v>
                </c:pt>
                <c:pt idx="1">
                  <c:v>43.8945689472</c:v>
                </c:pt>
                <c:pt idx="2">
                  <c:v>230.273744291</c:v>
                </c:pt>
                <c:pt idx="3">
                  <c:v>279.278314099</c:v>
                </c:pt>
              </c:numCache>
            </c:numRef>
          </c:val>
          <c:smooth val="0"/>
        </c:ser>
        <c:ser>
          <c:idx val="111"/>
          <c:order val="1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fuel_supply_costs.tsv!$DJ$26:$DJ$29</c:f>
              <c:numCache>
                <c:formatCode>General</c:formatCode>
                <c:ptCount val="4"/>
                <c:pt idx="0">
                  <c:v>63.6854340381</c:v>
                </c:pt>
                <c:pt idx="1">
                  <c:v>140.419832429</c:v>
                </c:pt>
                <c:pt idx="2">
                  <c:v>321.640755516</c:v>
                </c:pt>
                <c:pt idx="3">
                  <c:v>861.241535076</c:v>
                </c:pt>
              </c:numCache>
            </c:numRef>
          </c:val>
          <c:smooth val="0"/>
        </c:ser>
        <c:ser>
          <c:idx val="112"/>
          <c:order val="1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fuel_supply_costs.tsv!$DK$26:$DK$29</c:f>
              <c:numCache>
                <c:formatCode>General</c:formatCode>
                <c:ptCount val="4"/>
                <c:pt idx="0">
                  <c:v>32.0946641655</c:v>
                </c:pt>
                <c:pt idx="1">
                  <c:v>35.0477567831</c:v>
                </c:pt>
                <c:pt idx="2">
                  <c:v>72.6878029468</c:v>
                </c:pt>
                <c:pt idx="3">
                  <c:v>59.6411591531</c:v>
                </c:pt>
              </c:numCache>
            </c:numRef>
          </c:val>
          <c:smooth val="0"/>
        </c:ser>
        <c:ser>
          <c:idx val="113"/>
          <c:order val="1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fuel_supply_costs.tsv!$DL$26:$DL$29</c:f>
              <c:numCache>
                <c:formatCode>General</c:formatCode>
                <c:ptCount val="4"/>
                <c:pt idx="0">
                  <c:v>27.7602504009</c:v>
                </c:pt>
                <c:pt idx="1">
                  <c:v>11.5898691389</c:v>
                </c:pt>
                <c:pt idx="2">
                  <c:v>14.7346249407</c:v>
                </c:pt>
                <c:pt idx="3">
                  <c:v>37.3592790625</c:v>
                </c:pt>
              </c:numCache>
            </c:numRef>
          </c:val>
          <c:smooth val="0"/>
        </c:ser>
        <c:ser>
          <c:idx val="114"/>
          <c:order val="1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fuel_supply_costs.tsv!$DM$26:$DM$29</c:f>
              <c:numCache>
                <c:formatCode>General</c:formatCode>
                <c:ptCount val="4"/>
                <c:pt idx="0">
                  <c:v>16.5461683948</c:v>
                </c:pt>
                <c:pt idx="1">
                  <c:v>24.4915903362</c:v>
                </c:pt>
                <c:pt idx="2">
                  <c:v>42.5925527768</c:v>
                </c:pt>
                <c:pt idx="3">
                  <c:v>40.3933663228</c:v>
                </c:pt>
              </c:numCache>
            </c:numRef>
          </c:val>
          <c:smooth val="0"/>
        </c:ser>
        <c:ser>
          <c:idx val="115"/>
          <c:order val="1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fuel_supply_costs.tsv!$DN$26:$DN$29</c:f>
              <c:numCache>
                <c:formatCode>General</c:formatCode>
                <c:ptCount val="4"/>
                <c:pt idx="0">
                  <c:v>26.5323072485</c:v>
                </c:pt>
                <c:pt idx="1">
                  <c:v>19.2786482931</c:v>
                </c:pt>
                <c:pt idx="2">
                  <c:v>5.57095681123</c:v>
                </c:pt>
                <c:pt idx="3">
                  <c:v>22.9171420331</c:v>
                </c:pt>
              </c:numCache>
            </c:numRef>
          </c:val>
          <c:smooth val="0"/>
        </c:ser>
        <c:ser>
          <c:idx val="116"/>
          <c:order val="1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fuel_supply_costs.tsv!$DO$26:$DO$29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ser>
          <c:idx val="0"/>
          <c:order val="116"/>
          <c:tx>
            <c:strRef>
              <c:f>fuel_supply_costs.tsv!$A$38</c:f>
              <c:strCache>
                <c:ptCount val="1"/>
                <c:pt idx="0">
                  <c:v>Mean - LSFO-Diesel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fuel_supply_costs.tsv!$C$38:$C$41</c:f>
              <c:numCache>
                <c:formatCode>General</c:formatCode>
                <c:ptCount val="4"/>
                <c:pt idx="0">
                  <c:v>30.31156438254565</c:v>
                </c:pt>
                <c:pt idx="1">
                  <c:v>57.81771062231623</c:v>
                </c:pt>
                <c:pt idx="2">
                  <c:v>145.0089969632687</c:v>
                </c:pt>
                <c:pt idx="3">
                  <c:v>294.3909251535912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175640"/>
        <c:axId val="-2135172760"/>
      </c:lineChart>
      <c:catAx>
        <c:axId val="-213517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172760"/>
        <c:crosses val="autoZero"/>
        <c:auto val="1"/>
        <c:lblAlgn val="ctr"/>
        <c:lblOffset val="100"/>
        <c:noMultiLvlLbl val="0"/>
      </c:catAx>
      <c:valAx>
        <c:axId val="-2135172760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51756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LNG</a:t>
            </a:r>
          </a:p>
        </c:rich>
      </c:tx>
      <c:layout>
        <c:manualLayout>
          <c:xMode val="edge"/>
          <c:yMode val="edge"/>
          <c:x val="0.488559455491792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44147871347"/>
          <c:y val="0.127407407407407"/>
          <c:w val="0.733203256372614"/>
          <c:h val="0.773758465377013"/>
        </c:manualLayout>
      </c:layout>
      <c:lineChart>
        <c:grouping val="standard"/>
        <c:varyColors val="0"/>
        <c:ser>
          <c:idx val="1"/>
          <c:order val="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fuel_supply_costs.tsv!$D$14:$D$17</c:f>
              <c:numCache>
                <c:formatCode>General</c:formatCode>
                <c:ptCount val="4"/>
                <c:pt idx="0">
                  <c:v>6.13925709994</c:v>
                </c:pt>
                <c:pt idx="1">
                  <c:v>6.01772486018</c:v>
                </c:pt>
                <c:pt idx="2">
                  <c:v>6.00004686535</c:v>
                </c:pt>
                <c:pt idx="3">
                  <c:v>6.00003158121</c:v>
                </c:pt>
              </c:numCache>
            </c:numRef>
          </c:val>
          <c:smooth val="0"/>
        </c:ser>
        <c:ser>
          <c:idx val="2"/>
          <c:order val="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fuel_supply_costs.tsv!$E$14:$E$17</c:f>
              <c:numCache>
                <c:formatCode>General</c:formatCode>
                <c:ptCount val="4"/>
                <c:pt idx="0">
                  <c:v>10.7895883156</c:v>
                </c:pt>
                <c:pt idx="1">
                  <c:v>6.3306736509</c:v>
                </c:pt>
                <c:pt idx="2">
                  <c:v>6.71838664887</c:v>
                </c:pt>
                <c:pt idx="3">
                  <c:v>6.1806019311</c:v>
                </c:pt>
              </c:numCache>
            </c:numRef>
          </c:val>
          <c:smooth val="0"/>
        </c:ser>
        <c:ser>
          <c:idx val="3"/>
          <c:order val="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fuel_supply_costs.tsv!$F$14:$F$17</c:f>
              <c:numCache>
                <c:formatCode>General</c:formatCode>
                <c:ptCount val="4"/>
                <c:pt idx="0">
                  <c:v>13.6442628819</c:v>
                </c:pt>
                <c:pt idx="1">
                  <c:v>19.7993546546</c:v>
                </c:pt>
                <c:pt idx="2">
                  <c:v>201.616491382</c:v>
                </c:pt>
                <c:pt idx="3">
                  <c:v>193.542886293</c:v>
                </c:pt>
              </c:numCache>
            </c:numRef>
          </c:val>
          <c:smooth val="0"/>
        </c:ser>
        <c:ser>
          <c:idx val="4"/>
          <c:order val="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fuel_supply_costs.tsv!$G$14:$G$17</c:f>
              <c:numCache>
                <c:formatCode>General</c:formatCode>
                <c:ptCount val="4"/>
                <c:pt idx="0">
                  <c:v>9.55919808665</c:v>
                </c:pt>
                <c:pt idx="1">
                  <c:v>6.20445757575</c:v>
                </c:pt>
                <c:pt idx="2">
                  <c:v>6.02464338066</c:v>
                </c:pt>
                <c:pt idx="3">
                  <c:v>6.01035515158</c:v>
                </c:pt>
              </c:numCache>
            </c:numRef>
          </c:val>
          <c:smooth val="0"/>
        </c:ser>
        <c:ser>
          <c:idx val="5"/>
          <c:order val="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fuel_supply_costs.tsv!$H$14:$H$17</c:f>
              <c:numCache>
                <c:formatCode>General</c:formatCode>
                <c:ptCount val="4"/>
                <c:pt idx="0">
                  <c:v>14.0617437126</c:v>
                </c:pt>
                <c:pt idx="1">
                  <c:v>115.017695669</c:v>
                </c:pt>
                <c:pt idx="2">
                  <c:v>4935.70888631</c:v>
                </c:pt>
                <c:pt idx="3">
                  <c:v>636.064468269</c:v>
                </c:pt>
              </c:numCache>
            </c:numRef>
          </c:val>
          <c:smooth val="0"/>
        </c:ser>
        <c:ser>
          <c:idx val="6"/>
          <c:order val="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fuel_supply_costs.tsv!$I$14:$I$17</c:f>
              <c:numCache>
                <c:formatCode>General</c:formatCode>
                <c:ptCount val="4"/>
                <c:pt idx="0">
                  <c:v>12.4538828481</c:v>
                </c:pt>
                <c:pt idx="1">
                  <c:v>7.04864038302</c:v>
                </c:pt>
                <c:pt idx="2">
                  <c:v>16.6481386723</c:v>
                </c:pt>
                <c:pt idx="3">
                  <c:v>6.55563230654</c:v>
                </c:pt>
              </c:numCache>
            </c:numRef>
          </c:val>
          <c:smooth val="0"/>
        </c:ser>
        <c:ser>
          <c:idx val="7"/>
          <c:order val="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fuel_supply_costs.tsv!$J$14:$J$17</c:f>
              <c:numCache>
                <c:formatCode>General</c:formatCode>
                <c:ptCount val="4"/>
                <c:pt idx="0">
                  <c:v>8.21923416227</c:v>
                </c:pt>
                <c:pt idx="1">
                  <c:v>14.8968184926</c:v>
                </c:pt>
                <c:pt idx="2">
                  <c:v>15.385195899</c:v>
                </c:pt>
                <c:pt idx="3">
                  <c:v>13.2267088417</c:v>
                </c:pt>
              </c:numCache>
            </c:numRef>
          </c:val>
          <c:smooth val="0"/>
        </c:ser>
        <c:ser>
          <c:idx val="8"/>
          <c:order val="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fuel_supply_costs.tsv!$K$14:$K$17</c:f>
              <c:numCache>
                <c:formatCode>General</c:formatCode>
                <c:ptCount val="4"/>
                <c:pt idx="0">
                  <c:v>6.51994301786</c:v>
                </c:pt>
                <c:pt idx="1">
                  <c:v>9.74937516542</c:v>
                </c:pt>
                <c:pt idx="2">
                  <c:v>8.477291094670001</c:v>
                </c:pt>
                <c:pt idx="3">
                  <c:v>6.55997518702</c:v>
                </c:pt>
              </c:numCache>
            </c:numRef>
          </c:val>
          <c:smooth val="0"/>
        </c:ser>
        <c:ser>
          <c:idx val="9"/>
          <c:order val="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fuel_supply_costs.tsv!$L$14:$L$17</c:f>
              <c:numCache>
                <c:formatCode>General</c:formatCode>
                <c:ptCount val="4"/>
                <c:pt idx="0">
                  <c:v>12.4423219035</c:v>
                </c:pt>
                <c:pt idx="1">
                  <c:v>20.5324959866</c:v>
                </c:pt>
                <c:pt idx="2">
                  <c:v>7.74997632958</c:v>
                </c:pt>
                <c:pt idx="3">
                  <c:v>6.97621299687</c:v>
                </c:pt>
              </c:numCache>
            </c:numRef>
          </c:val>
          <c:smooth val="0"/>
        </c:ser>
        <c:ser>
          <c:idx val="10"/>
          <c:order val="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fuel_supply_costs.tsv!$M$14:$M$17</c:f>
              <c:numCache>
                <c:formatCode>General</c:formatCode>
                <c:ptCount val="4"/>
                <c:pt idx="0">
                  <c:v>7.29931142254</c:v>
                </c:pt>
                <c:pt idx="1">
                  <c:v>18.1694463085</c:v>
                </c:pt>
                <c:pt idx="2">
                  <c:v>10.1840758141</c:v>
                </c:pt>
                <c:pt idx="3">
                  <c:v>27.8067542223</c:v>
                </c:pt>
              </c:numCache>
            </c:numRef>
          </c:val>
          <c:smooth val="0"/>
        </c:ser>
        <c:ser>
          <c:idx val="11"/>
          <c:order val="1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fuel_supply_costs.tsv!$N$14:$N$17</c:f>
              <c:numCache>
                <c:formatCode>General</c:formatCode>
                <c:ptCount val="4"/>
                <c:pt idx="0">
                  <c:v>17.6901637778</c:v>
                </c:pt>
                <c:pt idx="1">
                  <c:v>8.72612698583</c:v>
                </c:pt>
                <c:pt idx="2">
                  <c:v>6.37929880947</c:v>
                </c:pt>
                <c:pt idx="3">
                  <c:v>6.13761872804</c:v>
                </c:pt>
              </c:numCache>
            </c:numRef>
          </c:val>
          <c:smooth val="0"/>
        </c:ser>
        <c:ser>
          <c:idx val="12"/>
          <c:order val="1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fuel_supply_costs.tsv!$O$14:$O$17</c:f>
              <c:numCache>
                <c:formatCode>General</c:formatCode>
                <c:ptCount val="4"/>
                <c:pt idx="0">
                  <c:v>7.92971906594</c:v>
                </c:pt>
                <c:pt idx="1">
                  <c:v>6.64684518217</c:v>
                </c:pt>
                <c:pt idx="2">
                  <c:v>6.14436720729</c:v>
                </c:pt>
                <c:pt idx="3">
                  <c:v>6.03521135339</c:v>
                </c:pt>
              </c:numCache>
            </c:numRef>
          </c:val>
          <c:smooth val="0"/>
        </c:ser>
        <c:ser>
          <c:idx val="13"/>
          <c:order val="1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fuel_supply_costs.tsv!$P$14:$P$17</c:f>
              <c:numCache>
                <c:formatCode>General</c:formatCode>
                <c:ptCount val="4"/>
                <c:pt idx="0">
                  <c:v>7.75961772404</c:v>
                </c:pt>
                <c:pt idx="1">
                  <c:v>6.17116139556</c:v>
                </c:pt>
                <c:pt idx="2">
                  <c:v>7.96905946259</c:v>
                </c:pt>
                <c:pt idx="3">
                  <c:v>59.2207982033</c:v>
                </c:pt>
              </c:numCache>
            </c:numRef>
          </c:val>
          <c:smooth val="0"/>
        </c:ser>
        <c:ser>
          <c:idx val="14"/>
          <c:order val="1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fuel_supply_costs.tsv!$Q$14:$Q$17</c:f>
              <c:numCache>
                <c:formatCode>General</c:formatCode>
                <c:ptCount val="4"/>
                <c:pt idx="0">
                  <c:v>9.50529678214</c:v>
                </c:pt>
                <c:pt idx="1">
                  <c:v>6.92118951518</c:v>
                </c:pt>
                <c:pt idx="2">
                  <c:v>6.35051694416</c:v>
                </c:pt>
                <c:pt idx="3">
                  <c:v>6.0213998929</c:v>
                </c:pt>
              </c:numCache>
            </c:numRef>
          </c:val>
          <c:smooth val="0"/>
        </c:ser>
        <c:ser>
          <c:idx val="15"/>
          <c:order val="1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fuel_supply_costs.tsv!$R$14:$R$17</c:f>
              <c:numCache>
                <c:formatCode>General</c:formatCode>
                <c:ptCount val="4"/>
                <c:pt idx="0">
                  <c:v>7.90301812395</c:v>
                </c:pt>
                <c:pt idx="1">
                  <c:v>9.71502767741</c:v>
                </c:pt>
                <c:pt idx="2">
                  <c:v>11.631692072</c:v>
                </c:pt>
                <c:pt idx="3">
                  <c:v>7.07936800175</c:v>
                </c:pt>
              </c:numCache>
            </c:numRef>
          </c:val>
          <c:smooth val="0"/>
        </c:ser>
        <c:ser>
          <c:idx val="16"/>
          <c:order val="1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fuel_supply_costs.tsv!$S$14:$S$17</c:f>
              <c:numCache>
                <c:formatCode>General</c:formatCode>
                <c:ptCount val="4"/>
                <c:pt idx="0">
                  <c:v>12.4154164908</c:v>
                </c:pt>
                <c:pt idx="1">
                  <c:v>12.9269736987</c:v>
                </c:pt>
                <c:pt idx="2">
                  <c:v>9.99297012884</c:v>
                </c:pt>
                <c:pt idx="3">
                  <c:v>16.7006168355</c:v>
                </c:pt>
              </c:numCache>
            </c:numRef>
          </c:val>
          <c:smooth val="0"/>
        </c:ser>
        <c:ser>
          <c:idx val="17"/>
          <c:order val="1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fuel_supply_costs.tsv!$T$14:$T$17</c:f>
              <c:numCache>
                <c:formatCode>General</c:formatCode>
                <c:ptCount val="4"/>
                <c:pt idx="0">
                  <c:v>16.0720506222</c:v>
                </c:pt>
                <c:pt idx="1">
                  <c:v>16.977858417</c:v>
                </c:pt>
                <c:pt idx="2">
                  <c:v>163.085063243</c:v>
                </c:pt>
                <c:pt idx="3">
                  <c:v>334.39718064</c:v>
                </c:pt>
              </c:numCache>
            </c:numRef>
          </c:val>
          <c:smooth val="0"/>
        </c:ser>
        <c:ser>
          <c:idx val="18"/>
          <c:order val="1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fuel_supply_costs.tsv!$U$14:$U$17</c:f>
              <c:numCache>
                <c:formatCode>General</c:formatCode>
                <c:ptCount val="4"/>
                <c:pt idx="0">
                  <c:v>15.0157397905</c:v>
                </c:pt>
                <c:pt idx="1">
                  <c:v>7.52661937561</c:v>
                </c:pt>
                <c:pt idx="2">
                  <c:v>14.5121581039</c:v>
                </c:pt>
                <c:pt idx="3">
                  <c:v>149.678163568</c:v>
                </c:pt>
              </c:numCache>
            </c:numRef>
          </c:val>
          <c:smooth val="0"/>
        </c:ser>
        <c:ser>
          <c:idx val="19"/>
          <c:order val="1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fuel_supply_costs.tsv!$V$14:$V$17</c:f>
              <c:numCache>
                <c:formatCode>General</c:formatCode>
                <c:ptCount val="4"/>
                <c:pt idx="0">
                  <c:v>44.8860611888</c:v>
                </c:pt>
                <c:pt idx="1">
                  <c:v>174.978164116</c:v>
                </c:pt>
                <c:pt idx="2">
                  <c:v>115.035225093</c:v>
                </c:pt>
                <c:pt idx="3">
                  <c:v>335.472496088</c:v>
                </c:pt>
              </c:numCache>
            </c:numRef>
          </c:val>
          <c:smooth val="0"/>
        </c:ser>
        <c:ser>
          <c:idx val="20"/>
          <c:order val="1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fuel_supply_costs.tsv!$W$14:$W$17</c:f>
              <c:numCache>
                <c:formatCode>General</c:formatCode>
                <c:ptCount val="4"/>
                <c:pt idx="0">
                  <c:v>24.2653987218</c:v>
                </c:pt>
                <c:pt idx="1">
                  <c:v>370.575135616</c:v>
                </c:pt>
                <c:pt idx="2">
                  <c:v>128.221927426</c:v>
                </c:pt>
                <c:pt idx="3">
                  <c:v>64.570554501</c:v>
                </c:pt>
              </c:numCache>
            </c:numRef>
          </c:val>
          <c:smooth val="0"/>
        </c:ser>
        <c:ser>
          <c:idx val="21"/>
          <c:order val="2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fuel_supply_costs.tsv!$X$14:$X$17</c:f>
              <c:numCache>
                <c:formatCode>General</c:formatCode>
                <c:ptCount val="4"/>
                <c:pt idx="0">
                  <c:v>8.81038754573</c:v>
                </c:pt>
                <c:pt idx="1">
                  <c:v>7.74281263437</c:v>
                </c:pt>
                <c:pt idx="2">
                  <c:v>6.33763078629</c:v>
                </c:pt>
                <c:pt idx="3">
                  <c:v>10.6572940235</c:v>
                </c:pt>
              </c:numCache>
            </c:numRef>
          </c:val>
          <c:smooth val="0"/>
        </c:ser>
        <c:ser>
          <c:idx val="22"/>
          <c:order val="2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fuel_supply_costs.tsv!$Y$14:$Y$17</c:f>
              <c:numCache>
                <c:formatCode>General</c:formatCode>
                <c:ptCount val="4"/>
                <c:pt idx="0">
                  <c:v>8.03141530351</c:v>
                </c:pt>
                <c:pt idx="1">
                  <c:v>7.67660028941</c:v>
                </c:pt>
                <c:pt idx="2">
                  <c:v>10.9849754785</c:v>
                </c:pt>
                <c:pt idx="3">
                  <c:v>16.7469050461</c:v>
                </c:pt>
              </c:numCache>
            </c:numRef>
          </c:val>
          <c:smooth val="0"/>
        </c:ser>
        <c:ser>
          <c:idx val="23"/>
          <c:order val="2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fuel_supply_costs.tsv!$Z$14:$Z$17</c:f>
              <c:numCache>
                <c:formatCode>General</c:formatCode>
                <c:ptCount val="4"/>
                <c:pt idx="0">
                  <c:v>7.23949687855</c:v>
                </c:pt>
                <c:pt idx="1">
                  <c:v>8.40020538094</c:v>
                </c:pt>
                <c:pt idx="2">
                  <c:v>6.59766373558</c:v>
                </c:pt>
                <c:pt idx="3">
                  <c:v>6.78396563239</c:v>
                </c:pt>
              </c:numCache>
            </c:numRef>
          </c:val>
          <c:smooth val="0"/>
        </c:ser>
        <c:ser>
          <c:idx val="24"/>
          <c:order val="2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fuel_supply_costs.tsv!$AA$14:$AA$17</c:f>
              <c:numCache>
                <c:formatCode>General</c:formatCode>
                <c:ptCount val="4"/>
                <c:pt idx="0">
                  <c:v>33.0239328308</c:v>
                </c:pt>
                <c:pt idx="1">
                  <c:v>146.367293181</c:v>
                </c:pt>
                <c:pt idx="2">
                  <c:v>25.2867698709</c:v>
                </c:pt>
                <c:pt idx="3">
                  <c:v>7.27148925482</c:v>
                </c:pt>
              </c:numCache>
            </c:numRef>
          </c:val>
          <c:smooth val="0"/>
        </c:ser>
        <c:ser>
          <c:idx val="25"/>
          <c:order val="2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fuel_supply_costs.tsv!$AB$14:$AB$17</c:f>
              <c:numCache>
                <c:formatCode>General</c:formatCode>
                <c:ptCount val="4"/>
                <c:pt idx="0">
                  <c:v>37.3483617188</c:v>
                </c:pt>
                <c:pt idx="1">
                  <c:v>59.1397828505</c:v>
                </c:pt>
                <c:pt idx="2">
                  <c:v>697.399102156</c:v>
                </c:pt>
                <c:pt idx="3">
                  <c:v>1790.54621763</c:v>
                </c:pt>
              </c:numCache>
            </c:numRef>
          </c:val>
          <c:smooth val="0"/>
        </c:ser>
        <c:ser>
          <c:idx val="26"/>
          <c:order val="2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fuel_supply_costs.tsv!$AC$14:$AC$17</c:f>
              <c:numCache>
                <c:formatCode>General</c:formatCode>
                <c:ptCount val="4"/>
                <c:pt idx="0">
                  <c:v>6.47915970087</c:v>
                </c:pt>
                <c:pt idx="1">
                  <c:v>6.10250370463</c:v>
                </c:pt>
                <c:pt idx="2">
                  <c:v>6.24130796634</c:v>
                </c:pt>
                <c:pt idx="3">
                  <c:v>6.0300914713</c:v>
                </c:pt>
              </c:numCache>
            </c:numRef>
          </c:val>
          <c:smooth val="0"/>
        </c:ser>
        <c:ser>
          <c:idx val="27"/>
          <c:order val="2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fuel_supply_costs.tsv!$AD$14:$AD$17</c:f>
              <c:numCache>
                <c:formatCode>General</c:formatCode>
                <c:ptCount val="4"/>
                <c:pt idx="0">
                  <c:v>6.49265328509</c:v>
                </c:pt>
                <c:pt idx="1">
                  <c:v>6.09231264496</c:v>
                </c:pt>
                <c:pt idx="2">
                  <c:v>6.27953167009</c:v>
                </c:pt>
                <c:pt idx="3">
                  <c:v>8.036748684180001</c:v>
                </c:pt>
              </c:numCache>
            </c:numRef>
          </c:val>
          <c:smooth val="0"/>
        </c:ser>
        <c:ser>
          <c:idx val="28"/>
          <c:order val="2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fuel_supply_costs.tsv!$AE$14:$AE$17</c:f>
              <c:numCache>
                <c:formatCode>General</c:formatCode>
                <c:ptCount val="4"/>
                <c:pt idx="0">
                  <c:v>6.79984560159</c:v>
                </c:pt>
                <c:pt idx="1">
                  <c:v>6.13549948214</c:v>
                </c:pt>
                <c:pt idx="2">
                  <c:v>6.06053273936</c:v>
                </c:pt>
                <c:pt idx="3">
                  <c:v>6.11135693443</c:v>
                </c:pt>
              </c:numCache>
            </c:numRef>
          </c:val>
          <c:smooth val="0"/>
        </c:ser>
        <c:ser>
          <c:idx val="29"/>
          <c:order val="2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fuel_supply_costs.tsv!$AF$14:$AF$17</c:f>
              <c:numCache>
                <c:formatCode>General</c:formatCode>
                <c:ptCount val="4"/>
                <c:pt idx="0">
                  <c:v>6.65137166009</c:v>
                </c:pt>
                <c:pt idx="1">
                  <c:v>7.1654838627</c:v>
                </c:pt>
                <c:pt idx="2">
                  <c:v>8.32570567317</c:v>
                </c:pt>
                <c:pt idx="3">
                  <c:v>9.25071872356</c:v>
                </c:pt>
              </c:numCache>
            </c:numRef>
          </c:val>
          <c:smooth val="0"/>
        </c:ser>
        <c:ser>
          <c:idx val="30"/>
          <c:order val="2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fuel_supply_costs.tsv!$AG$14:$AG$17</c:f>
              <c:numCache>
                <c:formatCode>General</c:formatCode>
                <c:ptCount val="4"/>
                <c:pt idx="0">
                  <c:v>10.4186664485</c:v>
                </c:pt>
                <c:pt idx="1">
                  <c:v>9.85446990369</c:v>
                </c:pt>
                <c:pt idx="2">
                  <c:v>12.4141279922</c:v>
                </c:pt>
                <c:pt idx="3">
                  <c:v>47.6201770158</c:v>
                </c:pt>
              </c:numCache>
            </c:numRef>
          </c:val>
          <c:smooth val="0"/>
        </c:ser>
        <c:ser>
          <c:idx val="31"/>
          <c:order val="3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fuel_supply_costs.tsv!$AH$14:$AH$17</c:f>
              <c:numCache>
                <c:formatCode>General</c:formatCode>
                <c:ptCount val="4"/>
                <c:pt idx="0">
                  <c:v>15.3606777685</c:v>
                </c:pt>
                <c:pt idx="1">
                  <c:v>156.449802667</c:v>
                </c:pt>
                <c:pt idx="2">
                  <c:v>2320.45654456</c:v>
                </c:pt>
                <c:pt idx="3">
                  <c:v>704.530376923</c:v>
                </c:pt>
              </c:numCache>
            </c:numRef>
          </c:val>
          <c:smooth val="0"/>
        </c:ser>
        <c:ser>
          <c:idx val="32"/>
          <c:order val="3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fuel_supply_costs.tsv!$AI$14:$AI$17</c:f>
              <c:numCache>
                <c:formatCode>General</c:formatCode>
                <c:ptCount val="4"/>
                <c:pt idx="0">
                  <c:v>69.8832406105</c:v>
                </c:pt>
                <c:pt idx="1">
                  <c:v>39.5976010765</c:v>
                </c:pt>
                <c:pt idx="2">
                  <c:v>118.946291987</c:v>
                </c:pt>
                <c:pt idx="3">
                  <c:v>196.229448932</c:v>
                </c:pt>
              </c:numCache>
            </c:numRef>
          </c:val>
          <c:smooth val="0"/>
        </c:ser>
        <c:ser>
          <c:idx val="33"/>
          <c:order val="3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fuel_supply_costs.tsv!$AJ$14:$AJ$17</c:f>
              <c:numCache>
                <c:formatCode>General</c:formatCode>
                <c:ptCount val="4"/>
                <c:pt idx="0">
                  <c:v>7.41487951089</c:v>
                </c:pt>
                <c:pt idx="1">
                  <c:v>9.24916676684</c:v>
                </c:pt>
                <c:pt idx="2">
                  <c:v>7.88365787987</c:v>
                </c:pt>
                <c:pt idx="3">
                  <c:v>6.89983832126</c:v>
                </c:pt>
              </c:numCache>
            </c:numRef>
          </c:val>
          <c:smooth val="0"/>
        </c:ser>
        <c:ser>
          <c:idx val="34"/>
          <c:order val="3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fuel_supply_costs.tsv!$AK$14:$AK$17</c:f>
              <c:numCache>
                <c:formatCode>General</c:formatCode>
                <c:ptCount val="4"/>
                <c:pt idx="0">
                  <c:v>6.60546432642</c:v>
                </c:pt>
                <c:pt idx="1">
                  <c:v>6.3321736759</c:v>
                </c:pt>
                <c:pt idx="2">
                  <c:v>6.93108315444</c:v>
                </c:pt>
                <c:pt idx="3">
                  <c:v>6.22984533991</c:v>
                </c:pt>
              </c:numCache>
            </c:numRef>
          </c:val>
          <c:smooth val="0"/>
        </c:ser>
        <c:ser>
          <c:idx val="35"/>
          <c:order val="3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fuel_supply_costs.tsv!$AL$14:$AL$17</c:f>
              <c:numCache>
                <c:formatCode>General</c:formatCode>
                <c:ptCount val="4"/>
                <c:pt idx="0">
                  <c:v>8.47574421697</c:v>
                </c:pt>
                <c:pt idx="1">
                  <c:v>7.52511618078</c:v>
                </c:pt>
                <c:pt idx="2">
                  <c:v>6.42361769951</c:v>
                </c:pt>
                <c:pt idx="3">
                  <c:v>6.0822079725</c:v>
                </c:pt>
              </c:numCache>
            </c:numRef>
          </c:val>
          <c:smooth val="0"/>
        </c:ser>
        <c:ser>
          <c:idx val="36"/>
          <c:order val="3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fuel_supply_costs.tsv!$AM$14:$AM$17</c:f>
              <c:numCache>
                <c:formatCode>General</c:formatCode>
                <c:ptCount val="4"/>
                <c:pt idx="0">
                  <c:v>6.60904638258</c:v>
                </c:pt>
                <c:pt idx="1">
                  <c:v>6.11316851359</c:v>
                </c:pt>
                <c:pt idx="2">
                  <c:v>6.21427915683</c:v>
                </c:pt>
                <c:pt idx="3">
                  <c:v>6.10983210871</c:v>
                </c:pt>
              </c:numCache>
            </c:numRef>
          </c:val>
          <c:smooth val="0"/>
        </c:ser>
        <c:ser>
          <c:idx val="37"/>
          <c:order val="3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fuel_supply_costs.tsv!$AN$14:$AN$17</c:f>
              <c:numCache>
                <c:formatCode>General</c:formatCode>
                <c:ptCount val="4"/>
                <c:pt idx="0">
                  <c:v>11.931973144</c:v>
                </c:pt>
                <c:pt idx="1">
                  <c:v>51.8931963573</c:v>
                </c:pt>
                <c:pt idx="2">
                  <c:v>55.7712056966</c:v>
                </c:pt>
                <c:pt idx="3">
                  <c:v>308.956942242</c:v>
                </c:pt>
              </c:numCache>
            </c:numRef>
          </c:val>
          <c:smooth val="0"/>
        </c:ser>
        <c:ser>
          <c:idx val="38"/>
          <c:order val="3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fuel_supply_costs.tsv!$AO$14:$AO$17</c:f>
              <c:numCache>
                <c:formatCode>General</c:formatCode>
                <c:ptCount val="4"/>
                <c:pt idx="0">
                  <c:v>8.85836182269</c:v>
                </c:pt>
                <c:pt idx="1">
                  <c:v>25.1726365547</c:v>
                </c:pt>
                <c:pt idx="2">
                  <c:v>731.770914741</c:v>
                </c:pt>
                <c:pt idx="3">
                  <c:v>902.018473695</c:v>
                </c:pt>
              </c:numCache>
            </c:numRef>
          </c:val>
          <c:smooth val="0"/>
        </c:ser>
        <c:ser>
          <c:idx val="39"/>
          <c:order val="3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fuel_supply_costs.tsv!$AP$14:$AP$17</c:f>
              <c:numCache>
                <c:formatCode>General</c:formatCode>
                <c:ptCount val="4"/>
                <c:pt idx="0">
                  <c:v>6.53943790603</c:v>
                </c:pt>
                <c:pt idx="1">
                  <c:v>11.4166306375</c:v>
                </c:pt>
                <c:pt idx="2">
                  <c:v>23.5880789834</c:v>
                </c:pt>
                <c:pt idx="3">
                  <c:v>17.3109054195</c:v>
                </c:pt>
              </c:numCache>
            </c:numRef>
          </c:val>
          <c:smooth val="0"/>
        </c:ser>
        <c:ser>
          <c:idx val="40"/>
          <c:order val="3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fuel_supply_costs.tsv!$AQ$14:$AQ$17</c:f>
              <c:numCache>
                <c:formatCode>General</c:formatCode>
                <c:ptCount val="4"/>
                <c:pt idx="0">
                  <c:v>9.94858442442</c:v>
                </c:pt>
                <c:pt idx="1">
                  <c:v>6.96900790242</c:v>
                </c:pt>
                <c:pt idx="2">
                  <c:v>6.32034119181</c:v>
                </c:pt>
                <c:pt idx="3">
                  <c:v>6.43794471526</c:v>
                </c:pt>
              </c:numCache>
            </c:numRef>
          </c:val>
          <c:smooth val="0"/>
        </c:ser>
        <c:ser>
          <c:idx val="41"/>
          <c:order val="4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fuel_supply_costs.tsv!$AR$14:$AR$17</c:f>
              <c:numCache>
                <c:formatCode>General</c:formatCode>
                <c:ptCount val="4"/>
                <c:pt idx="0">
                  <c:v>6.49214349379</c:v>
                </c:pt>
                <c:pt idx="1">
                  <c:v>10.619662415</c:v>
                </c:pt>
                <c:pt idx="2">
                  <c:v>7.27633727532</c:v>
                </c:pt>
                <c:pt idx="3">
                  <c:v>8.01160731251</c:v>
                </c:pt>
              </c:numCache>
            </c:numRef>
          </c:val>
          <c:smooth val="0"/>
        </c:ser>
        <c:ser>
          <c:idx val="42"/>
          <c:order val="4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fuel_supply_costs.tsv!$AS$14:$AS$17</c:f>
              <c:numCache>
                <c:formatCode>General</c:formatCode>
                <c:ptCount val="4"/>
                <c:pt idx="0">
                  <c:v>6.56981438429</c:v>
                </c:pt>
                <c:pt idx="1">
                  <c:v>8.76670651163</c:v>
                </c:pt>
                <c:pt idx="2">
                  <c:v>9.70653043313</c:v>
                </c:pt>
                <c:pt idx="3">
                  <c:v>8.54647644107</c:v>
                </c:pt>
              </c:numCache>
            </c:numRef>
          </c:val>
          <c:smooth val="0"/>
        </c:ser>
        <c:ser>
          <c:idx val="43"/>
          <c:order val="4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fuel_supply_costs.tsv!$AT$14:$AT$17</c:f>
              <c:numCache>
                <c:formatCode>General</c:formatCode>
                <c:ptCount val="4"/>
                <c:pt idx="0">
                  <c:v>6.32198604159</c:v>
                </c:pt>
                <c:pt idx="1">
                  <c:v>6.31578039165</c:v>
                </c:pt>
                <c:pt idx="2">
                  <c:v>6.95898533037</c:v>
                </c:pt>
                <c:pt idx="3">
                  <c:v>6.27096455933</c:v>
                </c:pt>
              </c:numCache>
            </c:numRef>
          </c:val>
          <c:smooth val="0"/>
        </c:ser>
        <c:ser>
          <c:idx val="44"/>
          <c:order val="4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fuel_supply_costs.tsv!$AU$14:$AU$17</c:f>
              <c:numCache>
                <c:formatCode>General</c:formatCode>
                <c:ptCount val="4"/>
                <c:pt idx="0">
                  <c:v>14.5152998127</c:v>
                </c:pt>
                <c:pt idx="1">
                  <c:v>223.928426122</c:v>
                </c:pt>
                <c:pt idx="2">
                  <c:v>154.324124154</c:v>
                </c:pt>
                <c:pt idx="3">
                  <c:v>101.855145353</c:v>
                </c:pt>
              </c:numCache>
            </c:numRef>
          </c:val>
          <c:smooth val="0"/>
        </c:ser>
        <c:ser>
          <c:idx val="45"/>
          <c:order val="4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fuel_supply_costs.tsv!$AV$14:$AV$17</c:f>
              <c:numCache>
                <c:formatCode>General</c:formatCode>
                <c:ptCount val="4"/>
                <c:pt idx="0">
                  <c:v>6.35319729667</c:v>
                </c:pt>
                <c:pt idx="1">
                  <c:v>6.27430190052</c:v>
                </c:pt>
                <c:pt idx="2">
                  <c:v>6.25914695085</c:v>
                </c:pt>
                <c:pt idx="3">
                  <c:v>6.23238547996</c:v>
                </c:pt>
              </c:numCache>
            </c:numRef>
          </c:val>
          <c:smooth val="0"/>
        </c:ser>
        <c:ser>
          <c:idx val="46"/>
          <c:order val="4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fuel_supply_costs.tsv!$AW$14:$AW$17</c:f>
              <c:numCache>
                <c:formatCode>General</c:formatCode>
                <c:ptCount val="4"/>
                <c:pt idx="0">
                  <c:v>68.5893107813</c:v>
                </c:pt>
                <c:pt idx="1">
                  <c:v>193.371844196</c:v>
                </c:pt>
                <c:pt idx="2">
                  <c:v>76.9953442077</c:v>
                </c:pt>
                <c:pt idx="3">
                  <c:v>61.6963803275</c:v>
                </c:pt>
              </c:numCache>
            </c:numRef>
          </c:val>
          <c:smooth val="0"/>
        </c:ser>
        <c:ser>
          <c:idx val="47"/>
          <c:order val="4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fuel_supply_costs.tsv!$AX$14:$AX$17</c:f>
              <c:numCache>
                <c:formatCode>General</c:formatCode>
                <c:ptCount val="4"/>
                <c:pt idx="0">
                  <c:v>6.59407225687</c:v>
                </c:pt>
                <c:pt idx="1">
                  <c:v>7.86901839869</c:v>
                </c:pt>
                <c:pt idx="2">
                  <c:v>6.06102391905</c:v>
                </c:pt>
                <c:pt idx="3">
                  <c:v>6.04800010463</c:v>
                </c:pt>
              </c:numCache>
            </c:numRef>
          </c:val>
          <c:smooth val="0"/>
        </c:ser>
        <c:ser>
          <c:idx val="48"/>
          <c:order val="4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fuel_supply_costs.tsv!$AY$14:$AY$17</c:f>
              <c:numCache>
                <c:formatCode>General</c:formatCode>
                <c:ptCount val="4"/>
                <c:pt idx="0">
                  <c:v>6.77688386759</c:v>
                </c:pt>
                <c:pt idx="1">
                  <c:v>6.6912766949</c:v>
                </c:pt>
                <c:pt idx="2">
                  <c:v>6.14978939473</c:v>
                </c:pt>
                <c:pt idx="3">
                  <c:v>6.00124351093</c:v>
                </c:pt>
              </c:numCache>
            </c:numRef>
          </c:val>
          <c:smooth val="0"/>
        </c:ser>
        <c:ser>
          <c:idx val="49"/>
          <c:order val="4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fuel_supply_costs.tsv!$AZ$14:$AZ$17</c:f>
              <c:numCache>
                <c:formatCode>General</c:formatCode>
                <c:ptCount val="4"/>
                <c:pt idx="0">
                  <c:v>16.1777610925</c:v>
                </c:pt>
                <c:pt idx="1">
                  <c:v>9.43501876924</c:v>
                </c:pt>
                <c:pt idx="2">
                  <c:v>6.3814374082</c:v>
                </c:pt>
                <c:pt idx="3">
                  <c:v>6.2720742915</c:v>
                </c:pt>
              </c:numCache>
            </c:numRef>
          </c:val>
          <c:smooth val="0"/>
        </c:ser>
        <c:ser>
          <c:idx val="50"/>
          <c:order val="4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fuel_supply_costs.tsv!$BA$14:$BA$17</c:f>
              <c:numCache>
                <c:formatCode>General</c:formatCode>
                <c:ptCount val="4"/>
                <c:pt idx="0">
                  <c:v>24.4838775866</c:v>
                </c:pt>
                <c:pt idx="1">
                  <c:v>106.188096141</c:v>
                </c:pt>
                <c:pt idx="2">
                  <c:v>170.720618771</c:v>
                </c:pt>
                <c:pt idx="3">
                  <c:v>376.919086439</c:v>
                </c:pt>
              </c:numCache>
            </c:numRef>
          </c:val>
          <c:smooth val="0"/>
        </c:ser>
        <c:ser>
          <c:idx val="51"/>
          <c:order val="5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fuel_supply_costs.tsv!$BB$14:$BB$17</c:f>
              <c:numCache>
                <c:formatCode>General</c:formatCode>
                <c:ptCount val="4"/>
                <c:pt idx="0">
                  <c:v>9.867827381130001</c:v>
                </c:pt>
                <c:pt idx="1">
                  <c:v>11.6946606523</c:v>
                </c:pt>
                <c:pt idx="2">
                  <c:v>6.85262322109</c:v>
                </c:pt>
                <c:pt idx="3">
                  <c:v>39.5847512664</c:v>
                </c:pt>
              </c:numCache>
            </c:numRef>
          </c:val>
          <c:smooth val="0"/>
        </c:ser>
        <c:ser>
          <c:idx val="52"/>
          <c:order val="5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fuel_supply_costs.tsv!$BC$14:$BC$17</c:f>
              <c:numCache>
                <c:formatCode>General</c:formatCode>
                <c:ptCount val="4"/>
                <c:pt idx="0">
                  <c:v>13.242631208</c:v>
                </c:pt>
                <c:pt idx="1">
                  <c:v>16.9022241571</c:v>
                </c:pt>
                <c:pt idx="2">
                  <c:v>6.82338543524</c:v>
                </c:pt>
                <c:pt idx="3">
                  <c:v>6.29600379538</c:v>
                </c:pt>
              </c:numCache>
            </c:numRef>
          </c:val>
          <c:smooth val="0"/>
        </c:ser>
        <c:ser>
          <c:idx val="53"/>
          <c:order val="5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fuel_supply_costs.tsv!$BD$14:$BD$17</c:f>
              <c:numCache>
                <c:formatCode>General</c:formatCode>
                <c:ptCount val="4"/>
                <c:pt idx="0">
                  <c:v>12.8926027536</c:v>
                </c:pt>
                <c:pt idx="1">
                  <c:v>40.1550124925</c:v>
                </c:pt>
                <c:pt idx="2">
                  <c:v>14.841672594</c:v>
                </c:pt>
                <c:pt idx="3">
                  <c:v>9.87052275291</c:v>
                </c:pt>
              </c:numCache>
            </c:numRef>
          </c:val>
          <c:smooth val="0"/>
        </c:ser>
        <c:ser>
          <c:idx val="54"/>
          <c:order val="5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fuel_supply_costs.tsv!$BE$14:$BE$17</c:f>
              <c:numCache>
                <c:formatCode>General</c:formatCode>
                <c:ptCount val="4"/>
                <c:pt idx="0">
                  <c:v>6.85215870324</c:v>
                </c:pt>
                <c:pt idx="1">
                  <c:v>12.9079353326</c:v>
                </c:pt>
                <c:pt idx="2">
                  <c:v>10.3652724459</c:v>
                </c:pt>
                <c:pt idx="3">
                  <c:v>9.65026898813</c:v>
                </c:pt>
              </c:numCache>
            </c:numRef>
          </c:val>
          <c:smooth val="0"/>
        </c:ser>
        <c:ser>
          <c:idx val="55"/>
          <c:order val="5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fuel_supply_costs.tsv!$BF$14:$BF$17</c:f>
              <c:numCache>
                <c:formatCode>General</c:formatCode>
                <c:ptCount val="4"/>
                <c:pt idx="0">
                  <c:v>6.16231690896</c:v>
                </c:pt>
                <c:pt idx="1">
                  <c:v>6.0861658954</c:v>
                </c:pt>
                <c:pt idx="2">
                  <c:v>6.06361917215</c:v>
                </c:pt>
                <c:pt idx="3">
                  <c:v>6.19399758797</c:v>
                </c:pt>
              </c:numCache>
            </c:numRef>
          </c:val>
          <c:smooth val="0"/>
        </c:ser>
        <c:ser>
          <c:idx val="56"/>
          <c:order val="5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fuel_supply_costs.tsv!$BG$14:$BG$17</c:f>
              <c:numCache>
                <c:formatCode>General</c:formatCode>
                <c:ptCount val="4"/>
                <c:pt idx="0">
                  <c:v>7.16147501519</c:v>
                </c:pt>
                <c:pt idx="1">
                  <c:v>6.07181573168</c:v>
                </c:pt>
                <c:pt idx="2">
                  <c:v>6.20083920802</c:v>
                </c:pt>
                <c:pt idx="3">
                  <c:v>6.08630474699</c:v>
                </c:pt>
              </c:numCache>
            </c:numRef>
          </c:val>
          <c:smooth val="0"/>
        </c:ser>
        <c:ser>
          <c:idx val="57"/>
          <c:order val="5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fuel_supply_costs.tsv!$BH$14:$BH$17</c:f>
              <c:numCache>
                <c:formatCode>General</c:formatCode>
                <c:ptCount val="4"/>
                <c:pt idx="0">
                  <c:v>14.4854762405</c:v>
                </c:pt>
                <c:pt idx="1">
                  <c:v>10.1253393117</c:v>
                </c:pt>
                <c:pt idx="2">
                  <c:v>6.03053480333</c:v>
                </c:pt>
                <c:pt idx="3">
                  <c:v>6.18876833706</c:v>
                </c:pt>
              </c:numCache>
            </c:numRef>
          </c:val>
          <c:smooth val="0"/>
        </c:ser>
        <c:ser>
          <c:idx val="58"/>
          <c:order val="5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fuel_supply_costs.tsv!$BI$14:$BI$17</c:f>
              <c:numCache>
                <c:formatCode>General</c:formatCode>
                <c:ptCount val="4"/>
                <c:pt idx="0">
                  <c:v>19.8605913879</c:v>
                </c:pt>
                <c:pt idx="1">
                  <c:v>113.418563993</c:v>
                </c:pt>
                <c:pt idx="2">
                  <c:v>33.7519400858</c:v>
                </c:pt>
                <c:pt idx="3">
                  <c:v>24.8381737726</c:v>
                </c:pt>
              </c:numCache>
            </c:numRef>
          </c:val>
          <c:smooth val="0"/>
        </c:ser>
        <c:ser>
          <c:idx val="59"/>
          <c:order val="5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fuel_supply_costs.tsv!$BJ$14:$BJ$17</c:f>
              <c:numCache>
                <c:formatCode>General</c:formatCode>
                <c:ptCount val="4"/>
                <c:pt idx="0">
                  <c:v>9.82259629661</c:v>
                </c:pt>
                <c:pt idx="1">
                  <c:v>6.53849432974</c:v>
                </c:pt>
                <c:pt idx="2">
                  <c:v>6.369042657</c:v>
                </c:pt>
                <c:pt idx="3">
                  <c:v>6.43088846924</c:v>
                </c:pt>
              </c:numCache>
            </c:numRef>
          </c:val>
          <c:smooth val="0"/>
        </c:ser>
        <c:ser>
          <c:idx val="60"/>
          <c:order val="5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fuel_supply_costs.tsv!$BK$14:$BK$17</c:f>
              <c:numCache>
                <c:formatCode>General</c:formatCode>
                <c:ptCount val="4"/>
                <c:pt idx="0">
                  <c:v>6.8174174048</c:v>
                </c:pt>
                <c:pt idx="1">
                  <c:v>7.28047268073</c:v>
                </c:pt>
                <c:pt idx="2">
                  <c:v>7.01588390366</c:v>
                </c:pt>
                <c:pt idx="3">
                  <c:v>6.41347768752</c:v>
                </c:pt>
              </c:numCache>
            </c:numRef>
          </c:val>
          <c:smooth val="0"/>
        </c:ser>
        <c:ser>
          <c:idx val="61"/>
          <c:order val="6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fuel_supply_costs.tsv!$BL$14:$BL$17</c:f>
              <c:numCache>
                <c:formatCode>General</c:formatCode>
                <c:ptCount val="4"/>
                <c:pt idx="0">
                  <c:v>15.0623225825</c:v>
                </c:pt>
                <c:pt idx="1">
                  <c:v>18.0362156665</c:v>
                </c:pt>
                <c:pt idx="2">
                  <c:v>21.4579040623</c:v>
                </c:pt>
                <c:pt idx="3">
                  <c:v>7.63435160937</c:v>
                </c:pt>
              </c:numCache>
            </c:numRef>
          </c:val>
          <c:smooth val="0"/>
        </c:ser>
        <c:ser>
          <c:idx val="62"/>
          <c:order val="6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fuel_supply_costs.tsv!$BM$14:$BM$17</c:f>
              <c:numCache>
                <c:formatCode>General</c:formatCode>
                <c:ptCount val="4"/>
                <c:pt idx="0">
                  <c:v>6.74418924942</c:v>
                </c:pt>
                <c:pt idx="1">
                  <c:v>6.46644624073</c:v>
                </c:pt>
                <c:pt idx="2">
                  <c:v>6.06862547474</c:v>
                </c:pt>
                <c:pt idx="3">
                  <c:v>6.01406778885</c:v>
                </c:pt>
              </c:numCache>
            </c:numRef>
          </c:val>
          <c:smooth val="0"/>
        </c:ser>
        <c:ser>
          <c:idx val="63"/>
          <c:order val="6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fuel_supply_costs.tsv!$BN$14:$BN$17</c:f>
              <c:numCache>
                <c:formatCode>General</c:formatCode>
                <c:ptCount val="4"/>
                <c:pt idx="0">
                  <c:v>12.1235329863</c:v>
                </c:pt>
                <c:pt idx="1">
                  <c:v>21.5380681343</c:v>
                </c:pt>
                <c:pt idx="2">
                  <c:v>13.7866487985</c:v>
                </c:pt>
                <c:pt idx="3">
                  <c:v>12.5351708609</c:v>
                </c:pt>
              </c:numCache>
            </c:numRef>
          </c:val>
          <c:smooth val="0"/>
        </c:ser>
        <c:ser>
          <c:idx val="64"/>
          <c:order val="6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fuel_supply_costs.tsv!$BO$14:$BO$17</c:f>
              <c:numCache>
                <c:formatCode>General</c:formatCode>
                <c:ptCount val="4"/>
                <c:pt idx="0">
                  <c:v>17.9413868664</c:v>
                </c:pt>
                <c:pt idx="1">
                  <c:v>15.8677453643</c:v>
                </c:pt>
                <c:pt idx="2">
                  <c:v>20.8089488057</c:v>
                </c:pt>
                <c:pt idx="3">
                  <c:v>192.974118126</c:v>
                </c:pt>
              </c:numCache>
            </c:numRef>
          </c:val>
          <c:smooth val="0"/>
        </c:ser>
        <c:ser>
          <c:idx val="65"/>
          <c:order val="6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fuel_supply_costs.tsv!$BP$14:$BP$17</c:f>
              <c:numCache>
                <c:formatCode>General</c:formatCode>
                <c:ptCount val="4"/>
                <c:pt idx="0">
                  <c:v>6.26299904375</c:v>
                </c:pt>
                <c:pt idx="1">
                  <c:v>9.19613561978</c:v>
                </c:pt>
                <c:pt idx="2">
                  <c:v>7.85950775995</c:v>
                </c:pt>
                <c:pt idx="3">
                  <c:v>8.08764106272</c:v>
                </c:pt>
              </c:numCache>
            </c:numRef>
          </c:val>
          <c:smooth val="0"/>
        </c:ser>
        <c:ser>
          <c:idx val="66"/>
          <c:order val="6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fuel_supply_costs.tsv!$BQ$14:$BQ$17</c:f>
              <c:numCache>
                <c:formatCode>General</c:formatCode>
                <c:ptCount val="4"/>
                <c:pt idx="0">
                  <c:v>7.44392375154</c:v>
                </c:pt>
                <c:pt idx="1">
                  <c:v>6.0022482331</c:v>
                </c:pt>
                <c:pt idx="2">
                  <c:v>6.00055169188</c:v>
                </c:pt>
                <c:pt idx="3">
                  <c:v>6.00525621192</c:v>
                </c:pt>
              </c:numCache>
            </c:numRef>
          </c:val>
          <c:smooth val="0"/>
        </c:ser>
        <c:ser>
          <c:idx val="67"/>
          <c:order val="6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fuel_supply_costs.tsv!$BR$14:$BR$17</c:f>
              <c:numCache>
                <c:formatCode>General</c:formatCode>
                <c:ptCount val="4"/>
                <c:pt idx="0">
                  <c:v>14.5821844705</c:v>
                </c:pt>
                <c:pt idx="1">
                  <c:v>8.38430745574</c:v>
                </c:pt>
                <c:pt idx="2">
                  <c:v>7.06257588188</c:v>
                </c:pt>
                <c:pt idx="3">
                  <c:v>12.3277643982</c:v>
                </c:pt>
              </c:numCache>
            </c:numRef>
          </c:val>
          <c:smooth val="0"/>
        </c:ser>
        <c:ser>
          <c:idx val="68"/>
          <c:order val="6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fuel_supply_costs.tsv!$BS$14:$BS$17</c:f>
              <c:numCache>
                <c:formatCode>General</c:formatCode>
                <c:ptCount val="4"/>
                <c:pt idx="0">
                  <c:v>7.72567707376</c:v>
                </c:pt>
                <c:pt idx="1">
                  <c:v>6.12825697342</c:v>
                </c:pt>
                <c:pt idx="2">
                  <c:v>6.55568442337</c:v>
                </c:pt>
                <c:pt idx="3">
                  <c:v>7.17567550186</c:v>
                </c:pt>
              </c:numCache>
            </c:numRef>
          </c:val>
          <c:smooth val="0"/>
        </c:ser>
        <c:ser>
          <c:idx val="69"/>
          <c:order val="6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fuel_supply_costs.tsv!$BT$14:$BT$17</c:f>
              <c:numCache>
                <c:formatCode>General</c:formatCode>
                <c:ptCount val="4"/>
                <c:pt idx="0">
                  <c:v>7.19614310293</c:v>
                </c:pt>
                <c:pt idx="1">
                  <c:v>10.2431599336</c:v>
                </c:pt>
                <c:pt idx="2">
                  <c:v>6.64578208974</c:v>
                </c:pt>
                <c:pt idx="3">
                  <c:v>6.34177018312</c:v>
                </c:pt>
              </c:numCache>
            </c:numRef>
          </c:val>
          <c:smooth val="0"/>
        </c:ser>
        <c:ser>
          <c:idx val="70"/>
          <c:order val="6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fuel_supply_costs.tsv!$BU$14:$BU$17</c:f>
              <c:numCache>
                <c:formatCode>General</c:formatCode>
                <c:ptCount val="4"/>
                <c:pt idx="0">
                  <c:v>11.150785613</c:v>
                </c:pt>
                <c:pt idx="1">
                  <c:v>7.34098654992</c:v>
                </c:pt>
                <c:pt idx="2">
                  <c:v>6.10886381914</c:v>
                </c:pt>
                <c:pt idx="3">
                  <c:v>6.35582979069</c:v>
                </c:pt>
              </c:numCache>
            </c:numRef>
          </c:val>
          <c:smooth val="0"/>
        </c:ser>
        <c:ser>
          <c:idx val="71"/>
          <c:order val="7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fuel_supply_costs.tsv!$BV$14:$BV$17</c:f>
              <c:numCache>
                <c:formatCode>General</c:formatCode>
                <c:ptCount val="4"/>
                <c:pt idx="0">
                  <c:v>10.6262622874</c:v>
                </c:pt>
                <c:pt idx="1">
                  <c:v>15.7054091337</c:v>
                </c:pt>
                <c:pt idx="2">
                  <c:v>7.31244607079</c:v>
                </c:pt>
                <c:pt idx="3">
                  <c:v>6.75521055534</c:v>
                </c:pt>
              </c:numCache>
            </c:numRef>
          </c:val>
          <c:smooth val="0"/>
        </c:ser>
        <c:ser>
          <c:idx val="72"/>
          <c:order val="7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fuel_supply_costs.tsv!$BW$14:$BW$17</c:f>
              <c:numCache>
                <c:formatCode>General</c:formatCode>
                <c:ptCount val="4"/>
                <c:pt idx="0">
                  <c:v>19.4971297147</c:v>
                </c:pt>
                <c:pt idx="1">
                  <c:v>13.9133437143</c:v>
                </c:pt>
                <c:pt idx="2">
                  <c:v>203.300472283</c:v>
                </c:pt>
                <c:pt idx="3">
                  <c:v>92.23096675639999</c:v>
                </c:pt>
              </c:numCache>
            </c:numRef>
          </c:val>
          <c:smooth val="0"/>
        </c:ser>
        <c:ser>
          <c:idx val="73"/>
          <c:order val="7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fuel_supply_costs.tsv!$BX$14:$BX$17</c:f>
              <c:numCache>
                <c:formatCode>General</c:formatCode>
                <c:ptCount val="4"/>
                <c:pt idx="0">
                  <c:v>16.81555698</c:v>
                </c:pt>
                <c:pt idx="1">
                  <c:v>8.7372352771</c:v>
                </c:pt>
                <c:pt idx="2">
                  <c:v>8.638568987819999</c:v>
                </c:pt>
                <c:pt idx="3">
                  <c:v>34.7036360328</c:v>
                </c:pt>
              </c:numCache>
            </c:numRef>
          </c:val>
          <c:smooth val="0"/>
        </c:ser>
        <c:ser>
          <c:idx val="74"/>
          <c:order val="7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fuel_supply_costs.tsv!$BY$14:$BY$17</c:f>
              <c:numCache>
                <c:formatCode>General</c:formatCode>
                <c:ptCount val="4"/>
                <c:pt idx="0">
                  <c:v>13.9301786557</c:v>
                </c:pt>
                <c:pt idx="1">
                  <c:v>58.4935652861</c:v>
                </c:pt>
                <c:pt idx="2">
                  <c:v>153.05513511</c:v>
                </c:pt>
                <c:pt idx="3">
                  <c:v>14.6228657916</c:v>
                </c:pt>
              </c:numCache>
            </c:numRef>
          </c:val>
          <c:smooth val="0"/>
        </c:ser>
        <c:ser>
          <c:idx val="75"/>
          <c:order val="7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fuel_supply_costs.tsv!$BZ$14:$BZ$17</c:f>
              <c:numCache>
                <c:formatCode>General</c:formatCode>
                <c:ptCount val="4"/>
                <c:pt idx="0">
                  <c:v>21.9896689977</c:v>
                </c:pt>
                <c:pt idx="1">
                  <c:v>8.78357195179</c:v>
                </c:pt>
                <c:pt idx="2">
                  <c:v>15.8735547789</c:v>
                </c:pt>
                <c:pt idx="3">
                  <c:v>8.45051034225</c:v>
                </c:pt>
              </c:numCache>
            </c:numRef>
          </c:val>
          <c:smooth val="0"/>
        </c:ser>
        <c:ser>
          <c:idx val="76"/>
          <c:order val="7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fuel_supply_costs.tsv!$CA$14:$CA$17</c:f>
              <c:numCache>
                <c:formatCode>General</c:formatCode>
                <c:ptCount val="4"/>
                <c:pt idx="0">
                  <c:v>10.4628578718</c:v>
                </c:pt>
                <c:pt idx="1">
                  <c:v>7.30477908534</c:v>
                </c:pt>
                <c:pt idx="2">
                  <c:v>6.41771614783</c:v>
                </c:pt>
                <c:pt idx="3">
                  <c:v>6.58374057531</c:v>
                </c:pt>
              </c:numCache>
            </c:numRef>
          </c:val>
          <c:smooth val="0"/>
        </c:ser>
        <c:ser>
          <c:idx val="77"/>
          <c:order val="7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fuel_supply_costs.tsv!$CB$14:$CB$17</c:f>
              <c:numCache>
                <c:formatCode>General</c:formatCode>
                <c:ptCount val="4"/>
                <c:pt idx="0">
                  <c:v>6.85066036402</c:v>
                </c:pt>
                <c:pt idx="1">
                  <c:v>6.2922980985</c:v>
                </c:pt>
                <c:pt idx="2">
                  <c:v>6.21163027936</c:v>
                </c:pt>
                <c:pt idx="3">
                  <c:v>6.28047852131</c:v>
                </c:pt>
              </c:numCache>
            </c:numRef>
          </c:val>
          <c:smooth val="0"/>
        </c:ser>
        <c:ser>
          <c:idx val="78"/>
          <c:order val="7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fuel_supply_costs.tsv!$CC$14:$CC$17</c:f>
              <c:numCache>
                <c:formatCode>General</c:formatCode>
                <c:ptCount val="4"/>
                <c:pt idx="0">
                  <c:v>19.1236699597</c:v>
                </c:pt>
                <c:pt idx="1">
                  <c:v>10.4538772286</c:v>
                </c:pt>
                <c:pt idx="2">
                  <c:v>19.5740527261</c:v>
                </c:pt>
                <c:pt idx="3">
                  <c:v>62.5914041207</c:v>
                </c:pt>
              </c:numCache>
            </c:numRef>
          </c:val>
          <c:smooth val="0"/>
        </c:ser>
        <c:ser>
          <c:idx val="79"/>
          <c:order val="7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fuel_supply_costs.tsv!$CD$14:$CD$17</c:f>
              <c:numCache>
                <c:formatCode>General</c:formatCode>
                <c:ptCount val="4"/>
                <c:pt idx="0">
                  <c:v>8.02864356752</c:v>
                </c:pt>
                <c:pt idx="1">
                  <c:v>7.14644580177</c:v>
                </c:pt>
                <c:pt idx="2">
                  <c:v>8.7691300267</c:v>
                </c:pt>
                <c:pt idx="3">
                  <c:v>43.0410276187</c:v>
                </c:pt>
              </c:numCache>
            </c:numRef>
          </c:val>
          <c:smooth val="0"/>
        </c:ser>
        <c:ser>
          <c:idx val="80"/>
          <c:order val="7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fuel_supply_costs.tsv!$CE$14:$CE$17</c:f>
              <c:numCache>
                <c:formatCode>General</c:formatCode>
                <c:ptCount val="4"/>
                <c:pt idx="0">
                  <c:v>23.5651213779</c:v>
                </c:pt>
                <c:pt idx="1">
                  <c:v>370.117977118</c:v>
                </c:pt>
                <c:pt idx="2">
                  <c:v>502.25907228</c:v>
                </c:pt>
                <c:pt idx="3">
                  <c:v>1307.23265704</c:v>
                </c:pt>
              </c:numCache>
            </c:numRef>
          </c:val>
          <c:smooth val="0"/>
        </c:ser>
        <c:ser>
          <c:idx val="81"/>
          <c:order val="8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fuel_supply_costs.tsv!$CF$14:$CF$17</c:f>
              <c:numCache>
                <c:formatCode>General</c:formatCode>
                <c:ptCount val="4"/>
                <c:pt idx="0">
                  <c:v>14.074404816</c:v>
                </c:pt>
                <c:pt idx="1">
                  <c:v>8.65730865992</c:v>
                </c:pt>
                <c:pt idx="2">
                  <c:v>6.52451956177</c:v>
                </c:pt>
                <c:pt idx="3">
                  <c:v>7.51919100334</c:v>
                </c:pt>
              </c:numCache>
            </c:numRef>
          </c:val>
          <c:smooth val="0"/>
        </c:ser>
        <c:ser>
          <c:idx val="82"/>
          <c:order val="8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fuel_supply_costs.tsv!$CG$14:$CG$17</c:f>
              <c:numCache>
                <c:formatCode>General</c:formatCode>
                <c:ptCount val="4"/>
                <c:pt idx="0">
                  <c:v>15.1124991998</c:v>
                </c:pt>
                <c:pt idx="1">
                  <c:v>20.1410907668</c:v>
                </c:pt>
                <c:pt idx="2">
                  <c:v>122.014768096</c:v>
                </c:pt>
                <c:pt idx="3">
                  <c:v>47.5510771533</c:v>
                </c:pt>
              </c:numCache>
            </c:numRef>
          </c:val>
          <c:smooth val="0"/>
        </c:ser>
        <c:ser>
          <c:idx val="83"/>
          <c:order val="8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fuel_supply_costs.tsv!$CH$14:$CH$17</c:f>
              <c:numCache>
                <c:formatCode>General</c:formatCode>
                <c:ptCount val="4"/>
                <c:pt idx="0">
                  <c:v>11.7223949592</c:v>
                </c:pt>
                <c:pt idx="1">
                  <c:v>7.42774144074</c:v>
                </c:pt>
                <c:pt idx="2">
                  <c:v>15.973383854</c:v>
                </c:pt>
                <c:pt idx="3">
                  <c:v>13.6216953995</c:v>
                </c:pt>
              </c:numCache>
            </c:numRef>
          </c:val>
          <c:smooth val="0"/>
        </c:ser>
        <c:ser>
          <c:idx val="84"/>
          <c:order val="8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fuel_supply_costs.tsv!$CI$14:$CI$17</c:f>
              <c:numCache>
                <c:formatCode>General</c:formatCode>
                <c:ptCount val="4"/>
                <c:pt idx="0">
                  <c:v>10.9827565666</c:v>
                </c:pt>
                <c:pt idx="1">
                  <c:v>8.25039334742</c:v>
                </c:pt>
                <c:pt idx="2">
                  <c:v>7.56582456095</c:v>
                </c:pt>
                <c:pt idx="3">
                  <c:v>7.57296594642</c:v>
                </c:pt>
              </c:numCache>
            </c:numRef>
          </c:val>
          <c:smooth val="0"/>
        </c:ser>
        <c:ser>
          <c:idx val="85"/>
          <c:order val="8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fuel_supply_costs.tsv!$CJ$14:$CJ$17</c:f>
              <c:numCache>
                <c:formatCode>General</c:formatCode>
                <c:ptCount val="4"/>
                <c:pt idx="0">
                  <c:v>20.7761890841</c:v>
                </c:pt>
                <c:pt idx="1">
                  <c:v>6.85030140059</c:v>
                </c:pt>
                <c:pt idx="2">
                  <c:v>9.50066013844</c:v>
                </c:pt>
                <c:pt idx="3">
                  <c:v>6.15412160293</c:v>
                </c:pt>
              </c:numCache>
            </c:numRef>
          </c:val>
          <c:smooth val="0"/>
        </c:ser>
        <c:ser>
          <c:idx val="86"/>
          <c:order val="8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fuel_supply_costs.tsv!$CK$14:$CK$17</c:f>
              <c:numCache>
                <c:formatCode>General</c:formatCode>
                <c:ptCount val="4"/>
                <c:pt idx="0">
                  <c:v>16.7765349223</c:v>
                </c:pt>
                <c:pt idx="1">
                  <c:v>10.3225713655</c:v>
                </c:pt>
                <c:pt idx="2">
                  <c:v>83.1156536358</c:v>
                </c:pt>
                <c:pt idx="3">
                  <c:v>287.961781797</c:v>
                </c:pt>
              </c:numCache>
            </c:numRef>
          </c:val>
          <c:smooth val="0"/>
        </c:ser>
        <c:ser>
          <c:idx val="87"/>
          <c:order val="8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fuel_supply_costs.tsv!$CL$14:$CL$17</c:f>
              <c:numCache>
                <c:formatCode>General</c:formatCode>
                <c:ptCount val="4"/>
                <c:pt idx="0">
                  <c:v>6.76314543996</c:v>
                </c:pt>
                <c:pt idx="1">
                  <c:v>10.2754017138</c:v>
                </c:pt>
                <c:pt idx="2">
                  <c:v>13.465483647</c:v>
                </c:pt>
                <c:pt idx="3">
                  <c:v>17.6870586993</c:v>
                </c:pt>
              </c:numCache>
            </c:numRef>
          </c:val>
          <c:smooth val="0"/>
        </c:ser>
        <c:ser>
          <c:idx val="88"/>
          <c:order val="8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fuel_supply_costs.tsv!$CM$14:$CM$17</c:f>
              <c:numCache>
                <c:formatCode>General</c:formatCode>
                <c:ptCount val="4"/>
                <c:pt idx="0">
                  <c:v>10.8259750799</c:v>
                </c:pt>
                <c:pt idx="1">
                  <c:v>7.20986990816</c:v>
                </c:pt>
                <c:pt idx="2">
                  <c:v>6.20888961338</c:v>
                </c:pt>
                <c:pt idx="3">
                  <c:v>6.62316735011</c:v>
                </c:pt>
              </c:numCache>
            </c:numRef>
          </c:val>
          <c:smooth val="0"/>
        </c:ser>
        <c:ser>
          <c:idx val="89"/>
          <c:order val="8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fuel_supply_costs.tsv!$CN$14:$CN$17</c:f>
              <c:numCache>
                <c:formatCode>General</c:formatCode>
                <c:ptCount val="4"/>
                <c:pt idx="0">
                  <c:v>18.4896898436</c:v>
                </c:pt>
                <c:pt idx="1">
                  <c:v>12.131825236</c:v>
                </c:pt>
                <c:pt idx="2">
                  <c:v>6.4324958717</c:v>
                </c:pt>
                <c:pt idx="3">
                  <c:v>6.07737436721</c:v>
                </c:pt>
              </c:numCache>
            </c:numRef>
          </c:val>
          <c:smooth val="0"/>
        </c:ser>
        <c:ser>
          <c:idx val="90"/>
          <c:order val="8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fuel_supply_costs.tsv!$CO$14:$CO$17</c:f>
              <c:numCache>
                <c:formatCode>General</c:formatCode>
                <c:ptCount val="4"/>
                <c:pt idx="0">
                  <c:v>9.08496603962</c:v>
                </c:pt>
                <c:pt idx="1">
                  <c:v>17.5636813231</c:v>
                </c:pt>
                <c:pt idx="2">
                  <c:v>17.1901316852</c:v>
                </c:pt>
                <c:pt idx="3">
                  <c:v>26.3115542955</c:v>
                </c:pt>
              </c:numCache>
            </c:numRef>
          </c:val>
          <c:smooth val="0"/>
        </c:ser>
        <c:ser>
          <c:idx val="91"/>
          <c:order val="9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fuel_supply_costs.tsv!$CP$14:$CP$17</c:f>
              <c:numCache>
                <c:formatCode>General</c:formatCode>
                <c:ptCount val="4"/>
                <c:pt idx="0">
                  <c:v>7.38974965637</c:v>
                </c:pt>
                <c:pt idx="1">
                  <c:v>14.623654912</c:v>
                </c:pt>
                <c:pt idx="2">
                  <c:v>18.683981251</c:v>
                </c:pt>
                <c:pt idx="3">
                  <c:v>11.437116726</c:v>
                </c:pt>
              </c:numCache>
            </c:numRef>
          </c:val>
          <c:smooth val="0"/>
        </c:ser>
        <c:ser>
          <c:idx val="92"/>
          <c:order val="9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fuel_supply_costs.tsv!$CQ$14:$CQ$17</c:f>
              <c:numCache>
                <c:formatCode>General</c:formatCode>
                <c:ptCount val="4"/>
                <c:pt idx="0">
                  <c:v>6.72186537596</c:v>
                </c:pt>
                <c:pt idx="1">
                  <c:v>10.1334366326</c:v>
                </c:pt>
                <c:pt idx="2">
                  <c:v>12.8523729679</c:v>
                </c:pt>
                <c:pt idx="3">
                  <c:v>7.21264107211</c:v>
                </c:pt>
              </c:numCache>
            </c:numRef>
          </c:val>
          <c:smooth val="0"/>
        </c:ser>
        <c:ser>
          <c:idx val="93"/>
          <c:order val="9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fuel_supply_costs.tsv!$CR$14:$CR$17</c:f>
              <c:numCache>
                <c:formatCode>General</c:formatCode>
                <c:ptCount val="4"/>
                <c:pt idx="0">
                  <c:v>9.51669022421</c:v>
                </c:pt>
                <c:pt idx="1">
                  <c:v>19.7938261177</c:v>
                </c:pt>
                <c:pt idx="2">
                  <c:v>80.6977295851</c:v>
                </c:pt>
                <c:pt idx="3">
                  <c:v>35.1320855316</c:v>
                </c:pt>
              </c:numCache>
            </c:numRef>
          </c:val>
          <c:smooth val="0"/>
        </c:ser>
        <c:ser>
          <c:idx val="94"/>
          <c:order val="9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fuel_supply_costs.tsv!$CS$14:$CS$17</c:f>
              <c:numCache>
                <c:formatCode>General</c:formatCode>
                <c:ptCount val="4"/>
                <c:pt idx="0">
                  <c:v>6.67756850828</c:v>
                </c:pt>
                <c:pt idx="1">
                  <c:v>6.14647477413</c:v>
                </c:pt>
                <c:pt idx="2">
                  <c:v>8.05533846667</c:v>
                </c:pt>
                <c:pt idx="3">
                  <c:v>6.87524984066</c:v>
                </c:pt>
              </c:numCache>
            </c:numRef>
          </c:val>
          <c:smooth val="0"/>
        </c:ser>
        <c:ser>
          <c:idx val="95"/>
          <c:order val="9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fuel_supply_costs.tsv!$CT$14:$CT$17</c:f>
              <c:numCache>
                <c:formatCode>General</c:formatCode>
                <c:ptCount val="4"/>
                <c:pt idx="0">
                  <c:v>15.7089016372</c:v>
                </c:pt>
                <c:pt idx="1">
                  <c:v>11.1184864919</c:v>
                </c:pt>
                <c:pt idx="2">
                  <c:v>6.52815359449</c:v>
                </c:pt>
                <c:pt idx="3">
                  <c:v>6.17922317134</c:v>
                </c:pt>
              </c:numCache>
            </c:numRef>
          </c:val>
          <c:smooth val="0"/>
        </c:ser>
        <c:ser>
          <c:idx val="96"/>
          <c:order val="9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fuel_supply_costs.tsv!$CU$14:$CU$17</c:f>
              <c:numCache>
                <c:formatCode>General</c:formatCode>
                <c:ptCount val="4"/>
                <c:pt idx="0">
                  <c:v>9.428273213740001</c:v>
                </c:pt>
                <c:pt idx="1">
                  <c:v>6.30008069887</c:v>
                </c:pt>
                <c:pt idx="2">
                  <c:v>6.37368351166</c:v>
                </c:pt>
                <c:pt idx="3">
                  <c:v>6.02860146781</c:v>
                </c:pt>
              </c:numCache>
            </c:numRef>
          </c:val>
          <c:smooth val="0"/>
        </c:ser>
        <c:ser>
          <c:idx val="97"/>
          <c:order val="9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fuel_supply_costs.tsv!$CV$14:$CV$17</c:f>
              <c:numCache>
                <c:formatCode>General</c:formatCode>
                <c:ptCount val="4"/>
                <c:pt idx="0">
                  <c:v>12.3119692168</c:v>
                </c:pt>
                <c:pt idx="1">
                  <c:v>31.6631377571</c:v>
                </c:pt>
                <c:pt idx="2">
                  <c:v>10.0039365835</c:v>
                </c:pt>
                <c:pt idx="3">
                  <c:v>10.327062565</c:v>
                </c:pt>
              </c:numCache>
            </c:numRef>
          </c:val>
          <c:smooth val="0"/>
        </c:ser>
        <c:ser>
          <c:idx val="98"/>
          <c:order val="9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fuel_supply_costs.tsv!$CW$14:$CW$17</c:f>
              <c:numCache>
                <c:formatCode>General</c:formatCode>
                <c:ptCount val="4"/>
                <c:pt idx="0">
                  <c:v>8.19419920223</c:v>
                </c:pt>
                <c:pt idx="1">
                  <c:v>7.92967348859</c:v>
                </c:pt>
                <c:pt idx="2">
                  <c:v>6.73313531684</c:v>
                </c:pt>
                <c:pt idx="3">
                  <c:v>6.22578017379</c:v>
                </c:pt>
              </c:numCache>
            </c:numRef>
          </c:val>
          <c:smooth val="0"/>
        </c:ser>
        <c:ser>
          <c:idx val="99"/>
          <c:order val="9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fuel_supply_costs.tsv!$CX$14:$CX$17</c:f>
              <c:numCache>
                <c:formatCode>General</c:formatCode>
                <c:ptCount val="4"/>
                <c:pt idx="0">
                  <c:v>10.5848650164</c:v>
                </c:pt>
                <c:pt idx="1">
                  <c:v>25.4419344533</c:v>
                </c:pt>
                <c:pt idx="2">
                  <c:v>6.54080398365</c:v>
                </c:pt>
                <c:pt idx="3">
                  <c:v>6.18180501369</c:v>
                </c:pt>
              </c:numCache>
            </c:numRef>
          </c:val>
          <c:smooth val="0"/>
        </c:ser>
        <c:ser>
          <c:idx val="100"/>
          <c:order val="9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fuel_supply_costs.tsv!$CY$14:$CY$17</c:f>
              <c:numCache>
                <c:formatCode>General</c:formatCode>
                <c:ptCount val="4"/>
                <c:pt idx="0">
                  <c:v>7.23864207884</c:v>
                </c:pt>
                <c:pt idx="1">
                  <c:v>18.7984373815</c:v>
                </c:pt>
                <c:pt idx="2">
                  <c:v>77.50687990439999</c:v>
                </c:pt>
                <c:pt idx="3">
                  <c:v>348.915752864</c:v>
                </c:pt>
              </c:numCache>
            </c:numRef>
          </c:val>
          <c:smooth val="0"/>
        </c:ser>
        <c:ser>
          <c:idx val="101"/>
          <c:order val="10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fuel_supply_costs.tsv!$CZ$14:$CZ$17</c:f>
              <c:numCache>
                <c:formatCode>General</c:formatCode>
                <c:ptCount val="4"/>
                <c:pt idx="0">
                  <c:v>15.1054942572</c:v>
                </c:pt>
                <c:pt idx="1">
                  <c:v>12.0090020427</c:v>
                </c:pt>
                <c:pt idx="2">
                  <c:v>21.8139270205</c:v>
                </c:pt>
                <c:pt idx="3">
                  <c:v>35.3297303258</c:v>
                </c:pt>
              </c:numCache>
            </c:numRef>
          </c:val>
          <c:smooth val="0"/>
        </c:ser>
        <c:ser>
          <c:idx val="102"/>
          <c:order val="10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fuel_supply_costs.tsv!$DA$14:$DA$17</c:f>
              <c:numCache>
                <c:formatCode>General</c:formatCode>
                <c:ptCount val="4"/>
                <c:pt idx="0">
                  <c:v>40.4223610491</c:v>
                </c:pt>
                <c:pt idx="1">
                  <c:v>36.0935189832</c:v>
                </c:pt>
                <c:pt idx="2">
                  <c:v>78.8676259594</c:v>
                </c:pt>
                <c:pt idx="3">
                  <c:v>416.579076727</c:v>
                </c:pt>
              </c:numCache>
            </c:numRef>
          </c:val>
          <c:smooth val="0"/>
        </c:ser>
        <c:ser>
          <c:idx val="103"/>
          <c:order val="10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fuel_supply_costs.tsv!$DB$14:$DB$17</c:f>
              <c:numCache>
                <c:formatCode>General</c:formatCode>
                <c:ptCount val="4"/>
                <c:pt idx="0">
                  <c:v>10.7962059535</c:v>
                </c:pt>
                <c:pt idx="1">
                  <c:v>8.03215920907</c:v>
                </c:pt>
                <c:pt idx="2">
                  <c:v>7.32710429417</c:v>
                </c:pt>
                <c:pt idx="3">
                  <c:v>11.9705473976</c:v>
                </c:pt>
              </c:numCache>
            </c:numRef>
          </c:val>
          <c:smooth val="0"/>
        </c:ser>
        <c:ser>
          <c:idx val="104"/>
          <c:order val="10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fuel_supply_costs.tsv!$DC$14:$DC$17</c:f>
              <c:numCache>
                <c:formatCode>General</c:formatCode>
                <c:ptCount val="4"/>
                <c:pt idx="0">
                  <c:v>7.84739069974</c:v>
                </c:pt>
                <c:pt idx="1">
                  <c:v>14.8049302917</c:v>
                </c:pt>
                <c:pt idx="2">
                  <c:v>8.21514844759</c:v>
                </c:pt>
                <c:pt idx="3">
                  <c:v>8.30094148834</c:v>
                </c:pt>
              </c:numCache>
            </c:numRef>
          </c:val>
          <c:smooth val="0"/>
        </c:ser>
        <c:ser>
          <c:idx val="105"/>
          <c:order val="10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fuel_supply_costs.tsv!$DD$14:$DD$17</c:f>
              <c:numCache>
                <c:formatCode>General</c:formatCode>
                <c:ptCount val="4"/>
                <c:pt idx="0">
                  <c:v>8.10156869209</c:v>
                </c:pt>
                <c:pt idx="1">
                  <c:v>8.55683877802</c:v>
                </c:pt>
                <c:pt idx="2">
                  <c:v>6.85432493761</c:v>
                </c:pt>
                <c:pt idx="3">
                  <c:v>6.03206541561</c:v>
                </c:pt>
              </c:numCache>
            </c:numRef>
          </c:val>
          <c:smooth val="0"/>
        </c:ser>
        <c:ser>
          <c:idx val="106"/>
          <c:order val="10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fuel_supply_costs.tsv!$DE$14:$DE$17</c:f>
              <c:numCache>
                <c:formatCode>General</c:formatCode>
                <c:ptCount val="4"/>
                <c:pt idx="0">
                  <c:v>6.94975808469</c:v>
                </c:pt>
                <c:pt idx="1">
                  <c:v>6.03575349361</c:v>
                </c:pt>
                <c:pt idx="2">
                  <c:v>6.01885917059</c:v>
                </c:pt>
                <c:pt idx="3">
                  <c:v>6.0127302168</c:v>
                </c:pt>
              </c:numCache>
            </c:numRef>
          </c:val>
          <c:smooth val="0"/>
        </c:ser>
        <c:ser>
          <c:idx val="107"/>
          <c:order val="106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fuel_supply_costs.tsv!$DF$14:$DF$17</c:f>
              <c:numCache>
                <c:formatCode>General</c:formatCode>
                <c:ptCount val="4"/>
                <c:pt idx="0">
                  <c:v>6.72891081065</c:v>
                </c:pt>
                <c:pt idx="1">
                  <c:v>7.66338221731</c:v>
                </c:pt>
                <c:pt idx="2">
                  <c:v>7.48459525104</c:v>
                </c:pt>
                <c:pt idx="3">
                  <c:v>6.81563995733</c:v>
                </c:pt>
              </c:numCache>
            </c:numRef>
          </c:val>
          <c:smooth val="0"/>
        </c:ser>
        <c:ser>
          <c:idx val="108"/>
          <c:order val="107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fuel_supply_costs.tsv!$DG$14:$DG$17</c:f>
              <c:numCache>
                <c:formatCode>General</c:formatCode>
                <c:ptCount val="4"/>
                <c:pt idx="0">
                  <c:v>6.4197429453</c:v>
                </c:pt>
                <c:pt idx="1">
                  <c:v>6.01367737378</c:v>
                </c:pt>
                <c:pt idx="2">
                  <c:v>6.01412332905</c:v>
                </c:pt>
                <c:pt idx="3">
                  <c:v>6.0044646672</c:v>
                </c:pt>
              </c:numCache>
            </c:numRef>
          </c:val>
          <c:smooth val="0"/>
        </c:ser>
        <c:ser>
          <c:idx val="109"/>
          <c:order val="108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fuel_supply_costs.tsv!$DH$14:$DH$17</c:f>
              <c:numCache>
                <c:formatCode>General</c:formatCode>
                <c:ptCount val="4"/>
                <c:pt idx="0">
                  <c:v>11.4889202004</c:v>
                </c:pt>
                <c:pt idx="1">
                  <c:v>8.88354274846</c:v>
                </c:pt>
                <c:pt idx="2">
                  <c:v>41.9246025501</c:v>
                </c:pt>
                <c:pt idx="3">
                  <c:v>116.046346822</c:v>
                </c:pt>
              </c:numCache>
            </c:numRef>
          </c:val>
          <c:smooth val="0"/>
        </c:ser>
        <c:ser>
          <c:idx val="110"/>
          <c:order val="109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fuel_supply_costs.tsv!$DI$14:$DI$17</c:f>
              <c:numCache>
                <c:formatCode>General</c:formatCode>
                <c:ptCount val="4"/>
                <c:pt idx="0">
                  <c:v>6.26499943914</c:v>
                </c:pt>
                <c:pt idx="1">
                  <c:v>7.88586177324</c:v>
                </c:pt>
                <c:pt idx="2">
                  <c:v>7.50673563411</c:v>
                </c:pt>
                <c:pt idx="3">
                  <c:v>9.11279907522</c:v>
                </c:pt>
              </c:numCache>
            </c:numRef>
          </c:val>
          <c:smooth val="0"/>
        </c:ser>
        <c:ser>
          <c:idx val="111"/>
          <c:order val="110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fuel_supply_costs.tsv!$DJ$14:$DJ$17</c:f>
              <c:numCache>
                <c:formatCode>General</c:formatCode>
                <c:ptCount val="4"/>
                <c:pt idx="0">
                  <c:v>66.8033953596</c:v>
                </c:pt>
                <c:pt idx="1">
                  <c:v>465.5607782</c:v>
                </c:pt>
                <c:pt idx="2">
                  <c:v>270.055678613</c:v>
                </c:pt>
                <c:pt idx="3">
                  <c:v>1697.18015683</c:v>
                </c:pt>
              </c:numCache>
            </c:numRef>
          </c:val>
          <c:smooth val="0"/>
        </c:ser>
        <c:ser>
          <c:idx val="112"/>
          <c:order val="111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fuel_supply_costs.tsv!$DK$14:$DK$17</c:f>
              <c:numCache>
                <c:formatCode>General</c:formatCode>
                <c:ptCount val="4"/>
                <c:pt idx="0">
                  <c:v>26.9359390312</c:v>
                </c:pt>
                <c:pt idx="1">
                  <c:v>29.8984311646</c:v>
                </c:pt>
                <c:pt idx="2">
                  <c:v>456.823216319</c:v>
                </c:pt>
                <c:pt idx="3">
                  <c:v>243.314306396</c:v>
                </c:pt>
              </c:numCache>
            </c:numRef>
          </c:val>
          <c:smooth val="0"/>
        </c:ser>
        <c:ser>
          <c:idx val="113"/>
          <c:order val="112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fuel_supply_costs.tsv!$DL$14:$DL$17</c:f>
              <c:numCache>
                <c:formatCode>General</c:formatCode>
                <c:ptCount val="4"/>
                <c:pt idx="0">
                  <c:v>8.0976089459</c:v>
                </c:pt>
                <c:pt idx="1">
                  <c:v>11.4353084741</c:v>
                </c:pt>
                <c:pt idx="2">
                  <c:v>22.2467630142</c:v>
                </c:pt>
                <c:pt idx="3">
                  <c:v>38.1180120547</c:v>
                </c:pt>
              </c:numCache>
            </c:numRef>
          </c:val>
          <c:smooth val="0"/>
        </c:ser>
        <c:ser>
          <c:idx val="114"/>
          <c:order val="113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fuel_supply_costs.tsv!$DM$14:$DM$17</c:f>
              <c:numCache>
                <c:formatCode>General</c:formatCode>
                <c:ptCount val="4"/>
                <c:pt idx="0">
                  <c:v>6.91599647925</c:v>
                </c:pt>
                <c:pt idx="1">
                  <c:v>6.05156241062</c:v>
                </c:pt>
                <c:pt idx="2">
                  <c:v>6.00158416998</c:v>
                </c:pt>
                <c:pt idx="3">
                  <c:v>6.00040569737</c:v>
                </c:pt>
              </c:numCache>
            </c:numRef>
          </c:val>
          <c:smooth val="0"/>
        </c:ser>
        <c:ser>
          <c:idx val="115"/>
          <c:order val="114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fuel_supply_costs.tsv!$DN$14:$DN$17</c:f>
              <c:numCache>
                <c:formatCode>General</c:formatCode>
                <c:ptCount val="4"/>
                <c:pt idx="0">
                  <c:v>8.58942402142</c:v>
                </c:pt>
                <c:pt idx="1">
                  <c:v>40.4593365137</c:v>
                </c:pt>
                <c:pt idx="2">
                  <c:v>7.11461216428</c:v>
                </c:pt>
                <c:pt idx="3">
                  <c:v>9.39209916815</c:v>
                </c:pt>
              </c:numCache>
            </c:numRef>
          </c:val>
          <c:smooth val="0"/>
        </c:ser>
        <c:ser>
          <c:idx val="116"/>
          <c:order val="115"/>
          <c:spPr>
            <a:ln w="9525"/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fuel_supply_costs.tsv!$DO$14:$DO$17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ser>
          <c:idx val="0"/>
          <c:order val="116"/>
          <c:tx>
            <c:strRef>
              <c:f>fuel_supply_costs.tsv!$A$34</c:f>
              <c:strCache>
                <c:ptCount val="1"/>
                <c:pt idx="0">
                  <c:v>Mean - Bulk LNG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fuel_supply_costs.tsv!$B$34:$B$37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fuel_supply_costs.tsv!$C$34:$C$37</c:f>
              <c:numCache>
                <c:formatCode>General</c:formatCode>
                <c:ptCount val="4"/>
                <c:pt idx="0">
                  <c:v>13.29643468255111</c:v>
                </c:pt>
                <c:pt idx="1">
                  <c:v>32.60396302802034</c:v>
                </c:pt>
                <c:pt idx="2">
                  <c:v>109.9645485225868</c:v>
                </c:pt>
                <c:pt idx="3">
                  <c:v>108.3707913668539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3742168"/>
        <c:axId val="-2133739288"/>
      </c:lineChart>
      <c:catAx>
        <c:axId val="-2133742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3739288"/>
        <c:crosses val="autoZero"/>
        <c:auto val="1"/>
        <c:lblAlgn val="ctr"/>
        <c:lblOffset val="100"/>
        <c:noMultiLvlLbl val="0"/>
      </c:catAx>
      <c:valAx>
        <c:axId val="-2133739288"/>
        <c:scaling>
          <c:orientation val="minMax"/>
          <c:max val="40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37421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>
        <c:manualLayout>
          <c:xMode val="edge"/>
          <c:yMode val="edge"/>
          <c:x val="0.327774456159082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44147871347"/>
          <c:y val="0.144650529794887"/>
          <c:w val="0.733203256372614"/>
          <c:h val="0.756515342989534"/>
        </c:manualLayout>
      </c:layout>
      <c:lineChart>
        <c:grouping val="standard"/>
        <c:varyColors val="0"/>
        <c:ser>
          <c:idx val="1"/>
          <c:order val="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fuel_supply_costs.tsv!$D$26:$D$29</c:f>
              <c:numCache>
                <c:formatCode>General</c:formatCode>
                <c:ptCount val="4"/>
                <c:pt idx="0">
                  <c:v>31.2211754052</c:v>
                </c:pt>
                <c:pt idx="1">
                  <c:v>33.6655361119</c:v>
                </c:pt>
                <c:pt idx="2">
                  <c:v>140.493368843</c:v>
                </c:pt>
                <c:pt idx="3">
                  <c:v>331.368769625</c:v>
                </c:pt>
              </c:numCache>
            </c:numRef>
          </c:val>
          <c:smooth val="0"/>
        </c:ser>
        <c:ser>
          <c:idx val="2"/>
          <c:order val="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fuel_supply_costs.tsv!$E$26:$E$29</c:f>
              <c:numCache>
                <c:formatCode>General</c:formatCode>
                <c:ptCount val="4"/>
                <c:pt idx="0">
                  <c:v>63.9308256946</c:v>
                </c:pt>
                <c:pt idx="1">
                  <c:v>106.568995951</c:v>
                </c:pt>
                <c:pt idx="2">
                  <c:v>386.00347221</c:v>
                </c:pt>
                <c:pt idx="3">
                  <c:v>350.094259381</c:v>
                </c:pt>
              </c:numCache>
            </c:numRef>
          </c:val>
          <c:smooth val="0"/>
        </c:ser>
        <c:ser>
          <c:idx val="3"/>
          <c:order val="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fuel_supply_costs.tsv!$F$26:$F$29</c:f>
              <c:numCache>
                <c:formatCode>General</c:formatCode>
                <c:ptCount val="4"/>
                <c:pt idx="0">
                  <c:v>28.7501978091</c:v>
                </c:pt>
                <c:pt idx="1">
                  <c:v>18.8899638542</c:v>
                </c:pt>
                <c:pt idx="2">
                  <c:v>17.7494160138</c:v>
                </c:pt>
                <c:pt idx="3">
                  <c:v>90.051605209</c:v>
                </c:pt>
              </c:numCache>
            </c:numRef>
          </c:val>
          <c:smooth val="0"/>
        </c:ser>
        <c:ser>
          <c:idx val="4"/>
          <c:order val="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fuel_supply_costs.tsv!$G$26:$G$29</c:f>
              <c:numCache>
                <c:formatCode>General</c:formatCode>
                <c:ptCount val="4"/>
                <c:pt idx="0">
                  <c:v>20.4065583348</c:v>
                </c:pt>
                <c:pt idx="1">
                  <c:v>14.7648006099</c:v>
                </c:pt>
                <c:pt idx="2">
                  <c:v>41.4387792413</c:v>
                </c:pt>
                <c:pt idx="3">
                  <c:v>116.971078588</c:v>
                </c:pt>
              </c:numCache>
            </c:numRef>
          </c:val>
          <c:smooth val="0"/>
        </c:ser>
        <c:ser>
          <c:idx val="5"/>
          <c:order val="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fuel_supply_costs.tsv!$H$26:$H$29</c:f>
              <c:numCache>
                <c:formatCode>General</c:formatCode>
                <c:ptCount val="4"/>
                <c:pt idx="0">
                  <c:v>15.0175372623</c:v>
                </c:pt>
                <c:pt idx="1">
                  <c:v>19.5769685928</c:v>
                </c:pt>
                <c:pt idx="2">
                  <c:v>46.0454241456</c:v>
                </c:pt>
                <c:pt idx="3">
                  <c:v>24.7434571867</c:v>
                </c:pt>
              </c:numCache>
            </c:numRef>
          </c:val>
          <c:smooth val="0"/>
        </c:ser>
        <c:ser>
          <c:idx val="6"/>
          <c:order val="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fuel_supply_costs.tsv!$I$26:$I$29</c:f>
              <c:numCache>
                <c:formatCode>General</c:formatCode>
                <c:ptCount val="4"/>
                <c:pt idx="0">
                  <c:v>23.3294780678</c:v>
                </c:pt>
                <c:pt idx="1">
                  <c:v>16.7282580187</c:v>
                </c:pt>
                <c:pt idx="2">
                  <c:v>21.76870395</c:v>
                </c:pt>
                <c:pt idx="3">
                  <c:v>114.789815235</c:v>
                </c:pt>
              </c:numCache>
            </c:numRef>
          </c:val>
          <c:smooth val="0"/>
        </c:ser>
        <c:ser>
          <c:idx val="7"/>
          <c:order val="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fuel_supply_costs.tsv!$J$26:$J$29</c:f>
              <c:numCache>
                <c:formatCode>General</c:formatCode>
                <c:ptCount val="4"/>
                <c:pt idx="0">
                  <c:v>38.1098843319</c:v>
                </c:pt>
                <c:pt idx="1">
                  <c:v>53.7699846587</c:v>
                </c:pt>
                <c:pt idx="2">
                  <c:v>102.97561355</c:v>
                </c:pt>
                <c:pt idx="3">
                  <c:v>199.951285333</c:v>
                </c:pt>
              </c:numCache>
            </c:numRef>
          </c:val>
          <c:smooth val="0"/>
        </c:ser>
        <c:ser>
          <c:idx val="8"/>
          <c:order val="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fuel_supply_costs.tsv!$K$26:$K$29</c:f>
              <c:numCache>
                <c:formatCode>General</c:formatCode>
                <c:ptCount val="4"/>
                <c:pt idx="0">
                  <c:v>22.7563262209</c:v>
                </c:pt>
                <c:pt idx="1">
                  <c:v>87.2437352097</c:v>
                </c:pt>
                <c:pt idx="2">
                  <c:v>394.702622087</c:v>
                </c:pt>
                <c:pt idx="3">
                  <c:v>409.108992585</c:v>
                </c:pt>
              </c:numCache>
            </c:numRef>
          </c:val>
          <c:smooth val="0"/>
        </c:ser>
        <c:ser>
          <c:idx val="9"/>
          <c:order val="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fuel_supply_costs.tsv!$L$26:$L$29</c:f>
              <c:numCache>
                <c:formatCode>General</c:formatCode>
                <c:ptCount val="4"/>
                <c:pt idx="0">
                  <c:v>39.0047332506</c:v>
                </c:pt>
                <c:pt idx="1">
                  <c:v>28.2602176689</c:v>
                </c:pt>
                <c:pt idx="2">
                  <c:v>46.9980682238</c:v>
                </c:pt>
                <c:pt idx="3">
                  <c:v>50.4604516167</c:v>
                </c:pt>
              </c:numCache>
            </c:numRef>
          </c:val>
          <c:smooth val="0"/>
        </c:ser>
        <c:ser>
          <c:idx val="10"/>
          <c:order val="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fuel_supply_costs.tsv!$M$26:$M$29</c:f>
              <c:numCache>
                <c:formatCode>General</c:formatCode>
                <c:ptCount val="4"/>
                <c:pt idx="0">
                  <c:v>38.2509579503</c:v>
                </c:pt>
                <c:pt idx="1">
                  <c:v>38.6628738457</c:v>
                </c:pt>
                <c:pt idx="2">
                  <c:v>29.9887123581</c:v>
                </c:pt>
                <c:pt idx="3">
                  <c:v>24.6898609703</c:v>
                </c:pt>
              </c:numCache>
            </c:numRef>
          </c:val>
          <c:smooth val="0"/>
        </c:ser>
        <c:ser>
          <c:idx val="11"/>
          <c:order val="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fuel_supply_costs.tsv!$N$26:$N$29</c:f>
              <c:numCache>
                <c:formatCode>General</c:formatCode>
                <c:ptCount val="4"/>
                <c:pt idx="0">
                  <c:v>15.7169429447</c:v>
                </c:pt>
                <c:pt idx="1">
                  <c:v>6.72911488574</c:v>
                </c:pt>
                <c:pt idx="2">
                  <c:v>10.9761955147</c:v>
                </c:pt>
                <c:pt idx="3">
                  <c:v>25.8657052931</c:v>
                </c:pt>
              </c:numCache>
            </c:numRef>
          </c:val>
          <c:smooth val="0"/>
        </c:ser>
        <c:ser>
          <c:idx val="12"/>
          <c:order val="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fuel_supply_costs.tsv!$O$26:$O$29</c:f>
              <c:numCache>
                <c:formatCode>General</c:formatCode>
                <c:ptCount val="4"/>
                <c:pt idx="0">
                  <c:v>18.8792177326</c:v>
                </c:pt>
                <c:pt idx="1">
                  <c:v>80.5369198498</c:v>
                </c:pt>
                <c:pt idx="2">
                  <c:v>106.78133688</c:v>
                </c:pt>
                <c:pt idx="3">
                  <c:v>106.201837844</c:v>
                </c:pt>
              </c:numCache>
            </c:numRef>
          </c:val>
          <c:smooth val="0"/>
        </c:ser>
        <c:ser>
          <c:idx val="13"/>
          <c:order val="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fuel_supply_costs.tsv!$P$26:$P$29</c:f>
              <c:numCache>
                <c:formatCode>General</c:formatCode>
                <c:ptCount val="4"/>
                <c:pt idx="0">
                  <c:v>21.5271487441</c:v>
                </c:pt>
                <c:pt idx="1">
                  <c:v>26.2324289121</c:v>
                </c:pt>
                <c:pt idx="2">
                  <c:v>92.3377012956</c:v>
                </c:pt>
                <c:pt idx="3">
                  <c:v>173.464164723</c:v>
                </c:pt>
              </c:numCache>
            </c:numRef>
          </c:val>
          <c:smooth val="0"/>
        </c:ser>
        <c:ser>
          <c:idx val="14"/>
          <c:order val="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fuel_supply_costs.tsv!$Q$26:$Q$29</c:f>
              <c:numCache>
                <c:formatCode>General</c:formatCode>
                <c:ptCount val="4"/>
                <c:pt idx="0">
                  <c:v>27.6569294259</c:v>
                </c:pt>
                <c:pt idx="1">
                  <c:v>21.8618066206</c:v>
                </c:pt>
                <c:pt idx="2">
                  <c:v>18.0190783624</c:v>
                </c:pt>
                <c:pt idx="3">
                  <c:v>40.4457144395</c:v>
                </c:pt>
              </c:numCache>
            </c:numRef>
          </c:val>
          <c:smooth val="0"/>
        </c:ser>
        <c:ser>
          <c:idx val="15"/>
          <c:order val="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fuel_supply_costs.tsv!$R$26:$R$29</c:f>
              <c:numCache>
                <c:formatCode>General</c:formatCode>
                <c:ptCount val="4"/>
                <c:pt idx="0">
                  <c:v>27.1503945375</c:v>
                </c:pt>
                <c:pt idx="1">
                  <c:v>27.1390788936</c:v>
                </c:pt>
                <c:pt idx="2">
                  <c:v>90.6699130935</c:v>
                </c:pt>
                <c:pt idx="3">
                  <c:v>76.8326209984</c:v>
                </c:pt>
              </c:numCache>
            </c:numRef>
          </c:val>
          <c:smooth val="0"/>
        </c:ser>
        <c:ser>
          <c:idx val="16"/>
          <c:order val="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fuel_supply_costs.tsv!$S$26:$S$29</c:f>
              <c:numCache>
                <c:formatCode>General</c:formatCode>
                <c:ptCount val="4"/>
                <c:pt idx="0">
                  <c:v>16.8506777609</c:v>
                </c:pt>
                <c:pt idx="1">
                  <c:v>42.1662403309</c:v>
                </c:pt>
                <c:pt idx="2">
                  <c:v>182.713304131</c:v>
                </c:pt>
                <c:pt idx="3">
                  <c:v>354.074382339</c:v>
                </c:pt>
              </c:numCache>
            </c:numRef>
          </c:val>
          <c:smooth val="0"/>
        </c:ser>
        <c:ser>
          <c:idx val="17"/>
          <c:order val="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fuel_supply_costs.tsv!$T$26:$T$29</c:f>
              <c:numCache>
                <c:formatCode>General</c:formatCode>
                <c:ptCount val="4"/>
                <c:pt idx="0">
                  <c:v>10.8353871407</c:v>
                </c:pt>
                <c:pt idx="1">
                  <c:v>56.2514605617</c:v>
                </c:pt>
                <c:pt idx="2">
                  <c:v>123.179556968</c:v>
                </c:pt>
                <c:pt idx="3">
                  <c:v>654.389895496</c:v>
                </c:pt>
              </c:numCache>
            </c:numRef>
          </c:val>
          <c:smooth val="0"/>
        </c:ser>
        <c:ser>
          <c:idx val="18"/>
          <c:order val="1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fuel_supply_costs.tsv!$U$26:$U$29</c:f>
              <c:numCache>
                <c:formatCode>General</c:formatCode>
                <c:ptCount val="4"/>
                <c:pt idx="0">
                  <c:v>29.8821513199</c:v>
                </c:pt>
                <c:pt idx="1">
                  <c:v>10.3791754856</c:v>
                </c:pt>
                <c:pt idx="2">
                  <c:v>48.1996218874</c:v>
                </c:pt>
                <c:pt idx="3">
                  <c:v>80.4721090167</c:v>
                </c:pt>
              </c:numCache>
            </c:numRef>
          </c:val>
          <c:smooth val="0"/>
        </c:ser>
        <c:ser>
          <c:idx val="19"/>
          <c:order val="1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fuel_supply_costs.tsv!$V$26:$V$29</c:f>
              <c:numCache>
                <c:formatCode>General</c:formatCode>
                <c:ptCount val="4"/>
                <c:pt idx="0">
                  <c:v>23.2465222345</c:v>
                </c:pt>
                <c:pt idx="1">
                  <c:v>17.6555859787</c:v>
                </c:pt>
                <c:pt idx="2">
                  <c:v>40.434602861</c:v>
                </c:pt>
                <c:pt idx="3">
                  <c:v>158.580053423</c:v>
                </c:pt>
              </c:numCache>
            </c:numRef>
          </c:val>
          <c:smooth val="0"/>
        </c:ser>
        <c:ser>
          <c:idx val="20"/>
          <c:order val="1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fuel_supply_costs.tsv!$W$26:$W$29</c:f>
              <c:numCache>
                <c:formatCode>General</c:formatCode>
                <c:ptCount val="4"/>
                <c:pt idx="0">
                  <c:v>102.760573134</c:v>
                </c:pt>
                <c:pt idx="1">
                  <c:v>163.173935779</c:v>
                </c:pt>
                <c:pt idx="2">
                  <c:v>456.785789858</c:v>
                </c:pt>
                <c:pt idx="3">
                  <c:v>235.13324062</c:v>
                </c:pt>
              </c:numCache>
            </c:numRef>
          </c:val>
          <c:smooth val="0"/>
        </c:ser>
        <c:ser>
          <c:idx val="21"/>
          <c:order val="2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fuel_supply_costs.tsv!$X$26:$X$29</c:f>
              <c:numCache>
                <c:formatCode>General</c:formatCode>
                <c:ptCount val="4"/>
                <c:pt idx="0">
                  <c:v>23.3544710452</c:v>
                </c:pt>
                <c:pt idx="1">
                  <c:v>27.2984664914</c:v>
                </c:pt>
                <c:pt idx="2">
                  <c:v>174.410485254</c:v>
                </c:pt>
                <c:pt idx="3">
                  <c:v>369.548259423</c:v>
                </c:pt>
              </c:numCache>
            </c:numRef>
          </c:val>
          <c:smooth val="0"/>
        </c:ser>
        <c:ser>
          <c:idx val="22"/>
          <c:order val="2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fuel_supply_costs.tsv!$Y$26:$Y$29</c:f>
              <c:numCache>
                <c:formatCode>General</c:formatCode>
                <c:ptCount val="4"/>
                <c:pt idx="0">
                  <c:v>25.265622475</c:v>
                </c:pt>
                <c:pt idx="1">
                  <c:v>41.3762989813</c:v>
                </c:pt>
                <c:pt idx="2">
                  <c:v>34.1864182066</c:v>
                </c:pt>
                <c:pt idx="3">
                  <c:v>60.6055293834</c:v>
                </c:pt>
              </c:numCache>
            </c:numRef>
          </c:val>
          <c:smooth val="0"/>
        </c:ser>
        <c:ser>
          <c:idx val="23"/>
          <c:order val="2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fuel_supply_costs.tsv!$Z$26:$Z$29</c:f>
              <c:numCache>
                <c:formatCode>General</c:formatCode>
                <c:ptCount val="4"/>
                <c:pt idx="0">
                  <c:v>82.764394546</c:v>
                </c:pt>
                <c:pt idx="1">
                  <c:v>319.661988614</c:v>
                </c:pt>
                <c:pt idx="2">
                  <c:v>819.539484981</c:v>
                </c:pt>
                <c:pt idx="3">
                  <c:v>1928.37720829</c:v>
                </c:pt>
              </c:numCache>
            </c:numRef>
          </c:val>
          <c:smooth val="0"/>
        </c:ser>
        <c:ser>
          <c:idx val="24"/>
          <c:order val="2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fuel_supply_costs.tsv!$AA$26:$AA$29</c:f>
              <c:numCache>
                <c:formatCode>General</c:formatCode>
                <c:ptCount val="4"/>
                <c:pt idx="0">
                  <c:v>20.6853108012</c:v>
                </c:pt>
                <c:pt idx="1">
                  <c:v>51.9470829124</c:v>
                </c:pt>
                <c:pt idx="2">
                  <c:v>29.350263517</c:v>
                </c:pt>
                <c:pt idx="3">
                  <c:v>21.6461229188</c:v>
                </c:pt>
              </c:numCache>
            </c:numRef>
          </c:val>
          <c:smooth val="0"/>
        </c:ser>
        <c:ser>
          <c:idx val="25"/>
          <c:order val="2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fuel_supply_costs.tsv!$AB$26:$AB$29</c:f>
              <c:numCache>
                <c:formatCode>General</c:formatCode>
                <c:ptCount val="4"/>
                <c:pt idx="0">
                  <c:v>25.6158681541</c:v>
                </c:pt>
                <c:pt idx="1">
                  <c:v>17.7994028209</c:v>
                </c:pt>
                <c:pt idx="2">
                  <c:v>19.8553141169</c:v>
                </c:pt>
                <c:pt idx="3">
                  <c:v>47.8929020996</c:v>
                </c:pt>
              </c:numCache>
            </c:numRef>
          </c:val>
          <c:smooth val="0"/>
        </c:ser>
        <c:ser>
          <c:idx val="26"/>
          <c:order val="2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fuel_supply_costs.tsv!$AC$26:$AC$29</c:f>
              <c:numCache>
                <c:formatCode>General</c:formatCode>
                <c:ptCount val="4"/>
                <c:pt idx="0">
                  <c:v>15.380939169</c:v>
                </c:pt>
                <c:pt idx="1">
                  <c:v>63.2672433855</c:v>
                </c:pt>
                <c:pt idx="2">
                  <c:v>62.6046782557</c:v>
                </c:pt>
                <c:pt idx="3">
                  <c:v>77.9056502299</c:v>
                </c:pt>
              </c:numCache>
            </c:numRef>
          </c:val>
          <c:smooth val="0"/>
        </c:ser>
        <c:ser>
          <c:idx val="27"/>
          <c:order val="2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fuel_supply_costs.tsv!$AD$26:$AD$29</c:f>
              <c:numCache>
                <c:formatCode>General</c:formatCode>
                <c:ptCount val="4"/>
                <c:pt idx="0">
                  <c:v>11.0801166089</c:v>
                </c:pt>
                <c:pt idx="1">
                  <c:v>26.3909722096</c:v>
                </c:pt>
                <c:pt idx="2">
                  <c:v>50.2976917668</c:v>
                </c:pt>
                <c:pt idx="3">
                  <c:v>75.6530128437</c:v>
                </c:pt>
              </c:numCache>
            </c:numRef>
          </c:val>
          <c:smooth val="0"/>
        </c:ser>
        <c:ser>
          <c:idx val="28"/>
          <c:order val="2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fuel_supply_costs.tsv!$AE$26:$AE$29</c:f>
              <c:numCache>
                <c:formatCode>General</c:formatCode>
                <c:ptCount val="4"/>
                <c:pt idx="0">
                  <c:v>20.4610813013</c:v>
                </c:pt>
                <c:pt idx="1">
                  <c:v>53.1861248796</c:v>
                </c:pt>
                <c:pt idx="2">
                  <c:v>125.591888925</c:v>
                </c:pt>
                <c:pt idx="3">
                  <c:v>217.289953568</c:v>
                </c:pt>
              </c:numCache>
            </c:numRef>
          </c:val>
          <c:smooth val="0"/>
        </c:ser>
        <c:ser>
          <c:idx val="29"/>
          <c:order val="2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fuel_supply_costs.tsv!$AF$26:$AF$29</c:f>
              <c:numCache>
                <c:formatCode>General</c:formatCode>
                <c:ptCount val="4"/>
                <c:pt idx="0">
                  <c:v>21.0397543703</c:v>
                </c:pt>
                <c:pt idx="1">
                  <c:v>20.858567948</c:v>
                </c:pt>
                <c:pt idx="2">
                  <c:v>104.086113674</c:v>
                </c:pt>
                <c:pt idx="3">
                  <c:v>65.392849465</c:v>
                </c:pt>
              </c:numCache>
            </c:numRef>
          </c:val>
          <c:smooth val="0"/>
        </c:ser>
        <c:ser>
          <c:idx val="30"/>
          <c:order val="2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fuel_supply_costs.tsv!$AG$26:$AG$29</c:f>
              <c:numCache>
                <c:formatCode>General</c:formatCode>
                <c:ptCount val="4"/>
                <c:pt idx="0">
                  <c:v>14.2552874879</c:v>
                </c:pt>
                <c:pt idx="1">
                  <c:v>32.3854898874</c:v>
                </c:pt>
                <c:pt idx="2">
                  <c:v>29.6053543784</c:v>
                </c:pt>
                <c:pt idx="3">
                  <c:v>44.5273041234</c:v>
                </c:pt>
              </c:numCache>
            </c:numRef>
          </c:val>
          <c:smooth val="0"/>
        </c:ser>
        <c:ser>
          <c:idx val="31"/>
          <c:order val="3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fuel_supply_costs.tsv!$AH$26:$AH$29</c:f>
              <c:numCache>
                <c:formatCode>General</c:formatCode>
                <c:ptCount val="4"/>
                <c:pt idx="0">
                  <c:v>36.0974506728</c:v>
                </c:pt>
                <c:pt idx="1">
                  <c:v>17.7876654222</c:v>
                </c:pt>
                <c:pt idx="2">
                  <c:v>55.167067428</c:v>
                </c:pt>
                <c:pt idx="3">
                  <c:v>13.8260834537</c:v>
                </c:pt>
              </c:numCache>
            </c:numRef>
          </c:val>
          <c:smooth val="0"/>
        </c:ser>
        <c:ser>
          <c:idx val="32"/>
          <c:order val="3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fuel_supply_costs.tsv!$AI$26:$AI$29</c:f>
              <c:numCache>
                <c:formatCode>General</c:formatCode>
                <c:ptCount val="4"/>
                <c:pt idx="0">
                  <c:v>32.8186609002</c:v>
                </c:pt>
                <c:pt idx="1">
                  <c:v>246.230707659</c:v>
                </c:pt>
                <c:pt idx="2">
                  <c:v>801.925070043</c:v>
                </c:pt>
                <c:pt idx="3">
                  <c:v>3345.87944856</c:v>
                </c:pt>
              </c:numCache>
            </c:numRef>
          </c:val>
          <c:smooth val="0"/>
        </c:ser>
        <c:ser>
          <c:idx val="33"/>
          <c:order val="3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fuel_supply_costs.tsv!$AJ$26:$AJ$29</c:f>
              <c:numCache>
                <c:formatCode>General</c:formatCode>
                <c:ptCount val="4"/>
                <c:pt idx="0">
                  <c:v>65.043363859</c:v>
                </c:pt>
                <c:pt idx="1">
                  <c:v>294.014129921</c:v>
                </c:pt>
                <c:pt idx="2">
                  <c:v>690.943632502</c:v>
                </c:pt>
                <c:pt idx="3">
                  <c:v>1800.76255201</c:v>
                </c:pt>
              </c:numCache>
            </c:numRef>
          </c:val>
          <c:smooth val="0"/>
        </c:ser>
        <c:ser>
          <c:idx val="34"/>
          <c:order val="3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fuel_supply_costs.tsv!$AK$26:$AK$29</c:f>
              <c:numCache>
                <c:formatCode>General</c:formatCode>
                <c:ptCount val="4"/>
                <c:pt idx="0">
                  <c:v>8.527826004670001</c:v>
                </c:pt>
                <c:pt idx="1">
                  <c:v>9.290649681670001</c:v>
                </c:pt>
                <c:pt idx="2">
                  <c:v>23.5177151055</c:v>
                </c:pt>
                <c:pt idx="3">
                  <c:v>85.3509119262</c:v>
                </c:pt>
              </c:numCache>
            </c:numRef>
          </c:val>
          <c:smooth val="0"/>
        </c:ser>
        <c:ser>
          <c:idx val="35"/>
          <c:order val="3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fuel_supply_costs.tsv!$AL$26:$AL$29</c:f>
              <c:numCache>
                <c:formatCode>General</c:formatCode>
                <c:ptCount val="4"/>
                <c:pt idx="0">
                  <c:v>24.6271681079</c:v>
                </c:pt>
                <c:pt idx="1">
                  <c:v>13.8837008888</c:v>
                </c:pt>
                <c:pt idx="2">
                  <c:v>16.9515296248</c:v>
                </c:pt>
                <c:pt idx="3">
                  <c:v>53.8556716774</c:v>
                </c:pt>
              </c:numCache>
            </c:numRef>
          </c:val>
          <c:smooth val="0"/>
        </c:ser>
        <c:ser>
          <c:idx val="36"/>
          <c:order val="3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fuel_supply_costs.tsv!$AM$26:$AM$29</c:f>
              <c:numCache>
                <c:formatCode>General</c:formatCode>
                <c:ptCount val="4"/>
                <c:pt idx="0">
                  <c:v>49.6890239443</c:v>
                </c:pt>
                <c:pt idx="1">
                  <c:v>76.714604301</c:v>
                </c:pt>
                <c:pt idx="2">
                  <c:v>55.8511568335</c:v>
                </c:pt>
                <c:pt idx="3">
                  <c:v>180.839883673</c:v>
                </c:pt>
              </c:numCache>
            </c:numRef>
          </c:val>
          <c:smooth val="0"/>
        </c:ser>
        <c:ser>
          <c:idx val="37"/>
          <c:order val="3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fuel_supply_costs.tsv!$AN$26:$AN$29</c:f>
              <c:numCache>
                <c:formatCode>General</c:formatCode>
                <c:ptCount val="4"/>
                <c:pt idx="0">
                  <c:v>52.8419729351</c:v>
                </c:pt>
                <c:pt idx="1">
                  <c:v>154.14858663</c:v>
                </c:pt>
                <c:pt idx="2">
                  <c:v>149.847052975</c:v>
                </c:pt>
                <c:pt idx="3">
                  <c:v>154.447887707</c:v>
                </c:pt>
              </c:numCache>
            </c:numRef>
          </c:val>
          <c:smooth val="0"/>
        </c:ser>
        <c:ser>
          <c:idx val="38"/>
          <c:order val="3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fuel_supply_costs.tsv!$AO$26:$AO$29</c:f>
              <c:numCache>
                <c:formatCode>General</c:formatCode>
                <c:ptCount val="4"/>
                <c:pt idx="0">
                  <c:v>38.2636737463</c:v>
                </c:pt>
                <c:pt idx="1">
                  <c:v>140.860539884</c:v>
                </c:pt>
                <c:pt idx="2">
                  <c:v>251.413515973</c:v>
                </c:pt>
                <c:pt idx="3">
                  <c:v>334.503091399</c:v>
                </c:pt>
              </c:numCache>
            </c:numRef>
          </c:val>
          <c:smooth val="0"/>
        </c:ser>
        <c:ser>
          <c:idx val="39"/>
          <c:order val="3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fuel_supply_costs.tsv!$AP$26:$AP$29</c:f>
              <c:numCache>
                <c:formatCode>General</c:formatCode>
                <c:ptCount val="4"/>
                <c:pt idx="0">
                  <c:v>10.9115464543</c:v>
                </c:pt>
                <c:pt idx="1">
                  <c:v>6.92501485954</c:v>
                </c:pt>
                <c:pt idx="2">
                  <c:v>7.78108211826</c:v>
                </c:pt>
                <c:pt idx="3">
                  <c:v>14.7047577479</c:v>
                </c:pt>
              </c:numCache>
            </c:numRef>
          </c:val>
          <c:smooth val="0"/>
        </c:ser>
        <c:ser>
          <c:idx val="40"/>
          <c:order val="3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fuel_supply_costs.tsv!$AQ$26:$AQ$29</c:f>
              <c:numCache>
                <c:formatCode>General</c:formatCode>
                <c:ptCount val="4"/>
                <c:pt idx="0">
                  <c:v>20.397875023</c:v>
                </c:pt>
                <c:pt idx="1">
                  <c:v>77.5528175279</c:v>
                </c:pt>
                <c:pt idx="2">
                  <c:v>124.762011129</c:v>
                </c:pt>
                <c:pt idx="3">
                  <c:v>376.806054728</c:v>
                </c:pt>
              </c:numCache>
            </c:numRef>
          </c:val>
          <c:smooth val="0"/>
        </c:ser>
        <c:ser>
          <c:idx val="41"/>
          <c:order val="4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fuel_supply_costs.tsv!$AR$26:$AR$29</c:f>
              <c:numCache>
                <c:formatCode>General</c:formatCode>
                <c:ptCount val="4"/>
                <c:pt idx="0">
                  <c:v>26.7576029691</c:v>
                </c:pt>
                <c:pt idx="1">
                  <c:v>41.072151913</c:v>
                </c:pt>
                <c:pt idx="2">
                  <c:v>57.0244311111</c:v>
                </c:pt>
                <c:pt idx="3">
                  <c:v>112.989447355</c:v>
                </c:pt>
              </c:numCache>
            </c:numRef>
          </c:val>
          <c:smooth val="0"/>
        </c:ser>
        <c:ser>
          <c:idx val="42"/>
          <c:order val="4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fuel_supply_costs.tsv!$AS$26:$AS$29</c:f>
              <c:numCache>
                <c:formatCode>General</c:formatCode>
                <c:ptCount val="4"/>
                <c:pt idx="0">
                  <c:v>59.6551564227</c:v>
                </c:pt>
                <c:pt idx="1">
                  <c:v>236.247849414</c:v>
                </c:pt>
                <c:pt idx="2">
                  <c:v>1030.49103722</c:v>
                </c:pt>
                <c:pt idx="3">
                  <c:v>3434.56863029</c:v>
                </c:pt>
              </c:numCache>
            </c:numRef>
          </c:val>
          <c:smooth val="0"/>
        </c:ser>
        <c:ser>
          <c:idx val="43"/>
          <c:order val="4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fuel_supply_costs.tsv!$AT$26:$AT$29</c:f>
              <c:numCache>
                <c:formatCode>General</c:formatCode>
                <c:ptCount val="4"/>
                <c:pt idx="0">
                  <c:v>43.6695982374</c:v>
                </c:pt>
                <c:pt idx="1">
                  <c:v>77.3756048682</c:v>
                </c:pt>
                <c:pt idx="2">
                  <c:v>95.4511884763</c:v>
                </c:pt>
                <c:pt idx="3">
                  <c:v>93.72152203740001</c:v>
                </c:pt>
              </c:numCache>
            </c:numRef>
          </c:val>
          <c:smooth val="0"/>
        </c:ser>
        <c:ser>
          <c:idx val="44"/>
          <c:order val="4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fuel_supply_costs.tsv!$AU$26:$AU$29</c:f>
              <c:numCache>
                <c:formatCode>General</c:formatCode>
                <c:ptCount val="4"/>
                <c:pt idx="0">
                  <c:v>17.0820829199</c:v>
                </c:pt>
                <c:pt idx="1">
                  <c:v>32.5409413286</c:v>
                </c:pt>
                <c:pt idx="2">
                  <c:v>37.5316970083</c:v>
                </c:pt>
                <c:pt idx="3">
                  <c:v>50.5193336518</c:v>
                </c:pt>
              </c:numCache>
            </c:numRef>
          </c:val>
          <c:smooth val="0"/>
        </c:ser>
        <c:ser>
          <c:idx val="45"/>
          <c:order val="4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fuel_supply_costs.tsv!$AV$26:$AV$29</c:f>
              <c:numCache>
                <c:formatCode>General</c:formatCode>
                <c:ptCount val="4"/>
                <c:pt idx="0">
                  <c:v>32.7110053247</c:v>
                </c:pt>
                <c:pt idx="1">
                  <c:v>123.195952236</c:v>
                </c:pt>
                <c:pt idx="2">
                  <c:v>331.631331571</c:v>
                </c:pt>
                <c:pt idx="3">
                  <c:v>910.929052276</c:v>
                </c:pt>
              </c:numCache>
            </c:numRef>
          </c:val>
          <c:smooth val="0"/>
        </c:ser>
        <c:ser>
          <c:idx val="46"/>
          <c:order val="4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fuel_supply_costs.tsv!$AW$26:$AW$29</c:f>
              <c:numCache>
                <c:formatCode>General</c:formatCode>
                <c:ptCount val="4"/>
                <c:pt idx="0">
                  <c:v>37.4544402377</c:v>
                </c:pt>
                <c:pt idx="1">
                  <c:v>45.8518758828</c:v>
                </c:pt>
                <c:pt idx="2">
                  <c:v>163.014698053</c:v>
                </c:pt>
                <c:pt idx="3">
                  <c:v>232.431623659</c:v>
                </c:pt>
              </c:numCache>
            </c:numRef>
          </c:val>
          <c:smooth val="0"/>
        </c:ser>
        <c:ser>
          <c:idx val="47"/>
          <c:order val="4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fuel_supply_costs.tsv!$AX$26:$AX$29</c:f>
              <c:numCache>
                <c:formatCode>General</c:formatCode>
                <c:ptCount val="4"/>
                <c:pt idx="0">
                  <c:v>30.7720094955</c:v>
                </c:pt>
                <c:pt idx="1">
                  <c:v>87.0381810958</c:v>
                </c:pt>
                <c:pt idx="2">
                  <c:v>285.082168714</c:v>
                </c:pt>
                <c:pt idx="3">
                  <c:v>298.434006677</c:v>
                </c:pt>
              </c:numCache>
            </c:numRef>
          </c:val>
          <c:smooth val="0"/>
        </c:ser>
        <c:ser>
          <c:idx val="48"/>
          <c:order val="4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fuel_supply_costs.tsv!$AY$26:$AY$29</c:f>
              <c:numCache>
                <c:formatCode>General</c:formatCode>
                <c:ptCount val="4"/>
                <c:pt idx="0">
                  <c:v>9.90501389643</c:v>
                </c:pt>
                <c:pt idx="1">
                  <c:v>8.78816544397</c:v>
                </c:pt>
                <c:pt idx="2">
                  <c:v>12.652397462</c:v>
                </c:pt>
                <c:pt idx="3">
                  <c:v>15.8974576165</c:v>
                </c:pt>
              </c:numCache>
            </c:numRef>
          </c:val>
          <c:smooth val="0"/>
        </c:ser>
        <c:ser>
          <c:idx val="49"/>
          <c:order val="4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fuel_supply_costs.tsv!$AZ$26:$AZ$29</c:f>
              <c:numCache>
                <c:formatCode>General</c:formatCode>
                <c:ptCount val="4"/>
                <c:pt idx="0">
                  <c:v>26.2077219507</c:v>
                </c:pt>
                <c:pt idx="1">
                  <c:v>33.4209867763</c:v>
                </c:pt>
                <c:pt idx="2">
                  <c:v>113.969060008</c:v>
                </c:pt>
                <c:pt idx="3">
                  <c:v>85.9299000247</c:v>
                </c:pt>
              </c:numCache>
            </c:numRef>
          </c:val>
          <c:smooth val="0"/>
        </c:ser>
        <c:ser>
          <c:idx val="50"/>
          <c:order val="4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fuel_supply_costs.tsv!$BA$26:$BA$29</c:f>
              <c:numCache>
                <c:formatCode>General</c:formatCode>
                <c:ptCount val="4"/>
                <c:pt idx="0">
                  <c:v>24.5893736663</c:v>
                </c:pt>
                <c:pt idx="1">
                  <c:v>40.8315714466</c:v>
                </c:pt>
                <c:pt idx="2">
                  <c:v>66.6083193417</c:v>
                </c:pt>
                <c:pt idx="3">
                  <c:v>125.446614835</c:v>
                </c:pt>
              </c:numCache>
            </c:numRef>
          </c:val>
          <c:smooth val="0"/>
        </c:ser>
        <c:ser>
          <c:idx val="51"/>
          <c:order val="5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fuel_supply_costs.tsv!$BB$26:$BB$29</c:f>
              <c:numCache>
                <c:formatCode>General</c:formatCode>
                <c:ptCount val="4"/>
                <c:pt idx="0">
                  <c:v>13.3674186483</c:v>
                </c:pt>
                <c:pt idx="1">
                  <c:v>10.3243793451</c:v>
                </c:pt>
                <c:pt idx="2">
                  <c:v>19.353105989</c:v>
                </c:pt>
                <c:pt idx="3">
                  <c:v>66.9282716352</c:v>
                </c:pt>
              </c:numCache>
            </c:numRef>
          </c:val>
          <c:smooth val="0"/>
        </c:ser>
        <c:ser>
          <c:idx val="52"/>
          <c:order val="5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fuel_supply_costs.tsv!$BC$26:$BC$29</c:f>
              <c:numCache>
                <c:formatCode>General</c:formatCode>
                <c:ptCount val="4"/>
                <c:pt idx="0">
                  <c:v>53.8159846629</c:v>
                </c:pt>
                <c:pt idx="1">
                  <c:v>112.852874279</c:v>
                </c:pt>
                <c:pt idx="2">
                  <c:v>533.472358575</c:v>
                </c:pt>
                <c:pt idx="3">
                  <c:v>801.63911817</c:v>
                </c:pt>
              </c:numCache>
            </c:numRef>
          </c:val>
          <c:smooth val="0"/>
        </c:ser>
        <c:ser>
          <c:idx val="53"/>
          <c:order val="5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fuel_supply_costs.tsv!$BD$26:$BD$29</c:f>
              <c:numCache>
                <c:formatCode>General</c:formatCode>
                <c:ptCount val="4"/>
                <c:pt idx="0">
                  <c:v>85.5933025575</c:v>
                </c:pt>
                <c:pt idx="1">
                  <c:v>306.932114931</c:v>
                </c:pt>
                <c:pt idx="2">
                  <c:v>650.170059962</c:v>
                </c:pt>
                <c:pt idx="3">
                  <c:v>345.903109643</c:v>
                </c:pt>
              </c:numCache>
            </c:numRef>
          </c:val>
          <c:smooth val="0"/>
        </c:ser>
        <c:ser>
          <c:idx val="54"/>
          <c:order val="5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fuel_supply_costs.tsv!$BE$26:$BE$29</c:f>
              <c:numCache>
                <c:formatCode>General</c:formatCode>
                <c:ptCount val="4"/>
                <c:pt idx="0">
                  <c:v>39.5442868938</c:v>
                </c:pt>
                <c:pt idx="1">
                  <c:v>34.7625866684</c:v>
                </c:pt>
                <c:pt idx="2">
                  <c:v>32.0245849876</c:v>
                </c:pt>
                <c:pt idx="3">
                  <c:v>65.4782972484</c:v>
                </c:pt>
              </c:numCache>
            </c:numRef>
          </c:val>
          <c:smooth val="0"/>
        </c:ser>
        <c:ser>
          <c:idx val="55"/>
          <c:order val="5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fuel_supply_costs.tsv!$BF$26:$BF$29</c:f>
              <c:numCache>
                <c:formatCode>General</c:formatCode>
                <c:ptCount val="4"/>
                <c:pt idx="0">
                  <c:v>18.8028524936</c:v>
                </c:pt>
                <c:pt idx="1">
                  <c:v>46.0312823676</c:v>
                </c:pt>
                <c:pt idx="2">
                  <c:v>276.764535393</c:v>
                </c:pt>
                <c:pt idx="3">
                  <c:v>788.760201729</c:v>
                </c:pt>
              </c:numCache>
            </c:numRef>
          </c:val>
          <c:smooth val="0"/>
        </c:ser>
        <c:ser>
          <c:idx val="56"/>
          <c:order val="5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fuel_supply_costs.tsv!$BG$26:$BG$29</c:f>
              <c:numCache>
                <c:formatCode>General</c:formatCode>
                <c:ptCount val="4"/>
                <c:pt idx="0">
                  <c:v>18.3069019166</c:v>
                </c:pt>
                <c:pt idx="1">
                  <c:v>17.4560354642</c:v>
                </c:pt>
                <c:pt idx="2">
                  <c:v>26.0842519745</c:v>
                </c:pt>
                <c:pt idx="3">
                  <c:v>36.3826971734</c:v>
                </c:pt>
              </c:numCache>
            </c:numRef>
          </c:val>
          <c:smooth val="0"/>
        </c:ser>
        <c:ser>
          <c:idx val="57"/>
          <c:order val="5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fuel_supply_costs.tsv!$BH$26:$BH$29</c:f>
              <c:numCache>
                <c:formatCode>General</c:formatCode>
                <c:ptCount val="4"/>
                <c:pt idx="0">
                  <c:v>29.7365940504</c:v>
                </c:pt>
                <c:pt idx="1">
                  <c:v>45.1234105082</c:v>
                </c:pt>
                <c:pt idx="2">
                  <c:v>89.0468528591</c:v>
                </c:pt>
                <c:pt idx="3">
                  <c:v>149.92415948</c:v>
                </c:pt>
              </c:numCache>
            </c:numRef>
          </c:val>
          <c:smooth val="0"/>
        </c:ser>
        <c:ser>
          <c:idx val="58"/>
          <c:order val="5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fuel_supply_costs.tsv!$BI$26:$BI$29</c:f>
              <c:numCache>
                <c:formatCode>General</c:formatCode>
                <c:ptCount val="4"/>
                <c:pt idx="0">
                  <c:v>32.5719135212</c:v>
                </c:pt>
                <c:pt idx="1">
                  <c:v>69.4287690808</c:v>
                </c:pt>
                <c:pt idx="2">
                  <c:v>100.516117961</c:v>
                </c:pt>
                <c:pt idx="3">
                  <c:v>159.191552317</c:v>
                </c:pt>
              </c:numCache>
            </c:numRef>
          </c:val>
          <c:smooth val="0"/>
        </c:ser>
        <c:ser>
          <c:idx val="59"/>
          <c:order val="5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fuel_supply_costs.tsv!$BJ$26:$BJ$29</c:f>
              <c:numCache>
                <c:formatCode>General</c:formatCode>
                <c:ptCount val="4"/>
                <c:pt idx="0">
                  <c:v>27.6146136098</c:v>
                </c:pt>
                <c:pt idx="1">
                  <c:v>34.8833942093</c:v>
                </c:pt>
                <c:pt idx="2">
                  <c:v>58.6184795021</c:v>
                </c:pt>
                <c:pt idx="3">
                  <c:v>217.632257001</c:v>
                </c:pt>
              </c:numCache>
            </c:numRef>
          </c:val>
          <c:smooth val="0"/>
        </c:ser>
        <c:ser>
          <c:idx val="60"/>
          <c:order val="5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fuel_supply_costs.tsv!$BK$26:$BK$29</c:f>
              <c:numCache>
                <c:formatCode>General</c:formatCode>
                <c:ptCount val="4"/>
                <c:pt idx="0">
                  <c:v>32.7945669841</c:v>
                </c:pt>
                <c:pt idx="1">
                  <c:v>112.595384454</c:v>
                </c:pt>
                <c:pt idx="2">
                  <c:v>242.325867004</c:v>
                </c:pt>
                <c:pt idx="3">
                  <c:v>429.133291357</c:v>
                </c:pt>
              </c:numCache>
            </c:numRef>
          </c:val>
          <c:smooth val="0"/>
        </c:ser>
        <c:ser>
          <c:idx val="61"/>
          <c:order val="6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fuel_supply_costs.tsv!$BL$26:$BL$29</c:f>
              <c:numCache>
                <c:formatCode>General</c:formatCode>
                <c:ptCount val="4"/>
                <c:pt idx="0">
                  <c:v>16.9429961531</c:v>
                </c:pt>
                <c:pt idx="1">
                  <c:v>36.2149162472</c:v>
                </c:pt>
                <c:pt idx="2">
                  <c:v>44.7346896716</c:v>
                </c:pt>
                <c:pt idx="3">
                  <c:v>79.33435300319999</c:v>
                </c:pt>
              </c:numCache>
            </c:numRef>
          </c:val>
          <c:smooth val="0"/>
        </c:ser>
        <c:ser>
          <c:idx val="62"/>
          <c:order val="6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fuel_supply_costs.tsv!$BM$26:$BM$29</c:f>
              <c:numCache>
                <c:formatCode>General</c:formatCode>
                <c:ptCount val="4"/>
                <c:pt idx="0">
                  <c:v>17.8543142718</c:v>
                </c:pt>
                <c:pt idx="1">
                  <c:v>32.3574702666</c:v>
                </c:pt>
                <c:pt idx="2">
                  <c:v>31.1989822823</c:v>
                </c:pt>
                <c:pt idx="3">
                  <c:v>102.259186079</c:v>
                </c:pt>
              </c:numCache>
            </c:numRef>
          </c:val>
          <c:smooth val="0"/>
        </c:ser>
        <c:ser>
          <c:idx val="63"/>
          <c:order val="6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fuel_supply_costs.tsv!$BN$26:$BN$29</c:f>
              <c:numCache>
                <c:formatCode>General</c:formatCode>
                <c:ptCount val="4"/>
                <c:pt idx="0">
                  <c:v>23.3829328575</c:v>
                </c:pt>
                <c:pt idx="1">
                  <c:v>51.0171091267</c:v>
                </c:pt>
                <c:pt idx="2">
                  <c:v>53.0918367915</c:v>
                </c:pt>
                <c:pt idx="3">
                  <c:v>123.8840445</c:v>
                </c:pt>
              </c:numCache>
            </c:numRef>
          </c:val>
          <c:smooth val="0"/>
        </c:ser>
        <c:ser>
          <c:idx val="64"/>
          <c:order val="6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fuel_supply_costs.tsv!$BO$26:$BO$29</c:f>
              <c:numCache>
                <c:formatCode>General</c:formatCode>
                <c:ptCount val="4"/>
                <c:pt idx="0">
                  <c:v>22.6877518836</c:v>
                </c:pt>
                <c:pt idx="1">
                  <c:v>13.7928112425</c:v>
                </c:pt>
                <c:pt idx="2">
                  <c:v>4.94247723141</c:v>
                </c:pt>
                <c:pt idx="3">
                  <c:v>19.0615155966</c:v>
                </c:pt>
              </c:numCache>
            </c:numRef>
          </c:val>
          <c:smooth val="0"/>
        </c:ser>
        <c:ser>
          <c:idx val="65"/>
          <c:order val="6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fuel_supply_costs.tsv!$BP$26:$BP$29</c:f>
              <c:numCache>
                <c:formatCode>General</c:formatCode>
                <c:ptCount val="4"/>
                <c:pt idx="0">
                  <c:v>19.2194328058</c:v>
                </c:pt>
                <c:pt idx="1">
                  <c:v>46.562339537</c:v>
                </c:pt>
                <c:pt idx="2">
                  <c:v>71.9316978666</c:v>
                </c:pt>
                <c:pt idx="3">
                  <c:v>326.227337368</c:v>
                </c:pt>
              </c:numCache>
            </c:numRef>
          </c:val>
          <c:smooth val="0"/>
        </c:ser>
        <c:ser>
          <c:idx val="66"/>
          <c:order val="6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fuel_supply_costs.tsv!$BQ$26:$BQ$29</c:f>
              <c:numCache>
                <c:formatCode>General</c:formatCode>
                <c:ptCount val="4"/>
                <c:pt idx="0">
                  <c:v>16.3793454963</c:v>
                </c:pt>
                <c:pt idx="1">
                  <c:v>7.43664212692</c:v>
                </c:pt>
                <c:pt idx="2">
                  <c:v>8.53919696177</c:v>
                </c:pt>
                <c:pt idx="3">
                  <c:v>16.8077657889</c:v>
                </c:pt>
              </c:numCache>
            </c:numRef>
          </c:val>
          <c:smooth val="0"/>
        </c:ser>
        <c:ser>
          <c:idx val="67"/>
          <c:order val="6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fuel_supply_costs.tsv!$BR$26:$BR$29</c:f>
              <c:numCache>
                <c:formatCode>General</c:formatCode>
                <c:ptCount val="4"/>
                <c:pt idx="0">
                  <c:v>19.8205226988</c:v>
                </c:pt>
                <c:pt idx="1">
                  <c:v>52.4752739418</c:v>
                </c:pt>
                <c:pt idx="2">
                  <c:v>242.806581751</c:v>
                </c:pt>
                <c:pt idx="3">
                  <c:v>751.741070951</c:v>
                </c:pt>
              </c:numCache>
            </c:numRef>
          </c:val>
          <c:smooth val="0"/>
        </c:ser>
        <c:ser>
          <c:idx val="68"/>
          <c:order val="6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fuel_supply_costs.tsv!$BS$26:$BS$29</c:f>
              <c:numCache>
                <c:formatCode>General</c:formatCode>
                <c:ptCount val="4"/>
                <c:pt idx="0">
                  <c:v>22.1393187564</c:v>
                </c:pt>
                <c:pt idx="1">
                  <c:v>23.2668317594</c:v>
                </c:pt>
                <c:pt idx="2">
                  <c:v>143.648178194</c:v>
                </c:pt>
                <c:pt idx="3">
                  <c:v>157.030495423</c:v>
                </c:pt>
              </c:numCache>
            </c:numRef>
          </c:val>
          <c:smooth val="0"/>
        </c:ser>
        <c:ser>
          <c:idx val="69"/>
          <c:order val="6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fuel_supply_costs.tsv!$BT$26:$BT$29</c:f>
              <c:numCache>
                <c:formatCode>General</c:formatCode>
                <c:ptCount val="4"/>
                <c:pt idx="0">
                  <c:v>25.7586617132</c:v>
                </c:pt>
                <c:pt idx="1">
                  <c:v>68.4026026625</c:v>
                </c:pt>
                <c:pt idx="2">
                  <c:v>378.250814211</c:v>
                </c:pt>
                <c:pt idx="3">
                  <c:v>499.520532792</c:v>
                </c:pt>
              </c:numCache>
            </c:numRef>
          </c:val>
          <c:smooth val="0"/>
        </c:ser>
        <c:ser>
          <c:idx val="70"/>
          <c:order val="6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fuel_supply_costs.tsv!$BU$26:$BU$29</c:f>
              <c:numCache>
                <c:formatCode>General</c:formatCode>
                <c:ptCount val="4"/>
                <c:pt idx="0">
                  <c:v>26.8207391785</c:v>
                </c:pt>
                <c:pt idx="1">
                  <c:v>98.7520163474</c:v>
                </c:pt>
                <c:pt idx="2">
                  <c:v>305.967262277</c:v>
                </c:pt>
                <c:pt idx="3">
                  <c:v>750.687382577</c:v>
                </c:pt>
              </c:numCache>
            </c:numRef>
          </c:val>
          <c:smooth val="0"/>
        </c:ser>
        <c:ser>
          <c:idx val="71"/>
          <c:order val="7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fuel_supply_costs.tsv!$BV$26:$BV$29</c:f>
              <c:numCache>
                <c:formatCode>General</c:formatCode>
                <c:ptCount val="4"/>
                <c:pt idx="0">
                  <c:v>20.1658952747</c:v>
                </c:pt>
                <c:pt idx="1">
                  <c:v>18.3620877941</c:v>
                </c:pt>
                <c:pt idx="2">
                  <c:v>33.9554163139</c:v>
                </c:pt>
                <c:pt idx="3">
                  <c:v>70.0448820642</c:v>
                </c:pt>
              </c:numCache>
            </c:numRef>
          </c:val>
          <c:smooth val="0"/>
        </c:ser>
        <c:ser>
          <c:idx val="72"/>
          <c:order val="7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fuel_supply_costs.tsv!$BW$26:$BW$29</c:f>
              <c:numCache>
                <c:formatCode>General</c:formatCode>
                <c:ptCount val="4"/>
                <c:pt idx="0">
                  <c:v>36.2079799205</c:v>
                </c:pt>
                <c:pt idx="1">
                  <c:v>38.4621751734</c:v>
                </c:pt>
                <c:pt idx="2">
                  <c:v>98.22543432729999</c:v>
                </c:pt>
                <c:pt idx="3">
                  <c:v>236.202875496</c:v>
                </c:pt>
              </c:numCache>
            </c:numRef>
          </c:val>
          <c:smooth val="0"/>
        </c:ser>
        <c:ser>
          <c:idx val="73"/>
          <c:order val="7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fuel_supply_costs.tsv!$BX$26:$BX$29</c:f>
              <c:numCache>
                <c:formatCode>General</c:formatCode>
                <c:ptCount val="4"/>
                <c:pt idx="0">
                  <c:v>43.8881784919</c:v>
                </c:pt>
                <c:pt idx="1">
                  <c:v>100.219673978</c:v>
                </c:pt>
                <c:pt idx="2">
                  <c:v>135.399328663</c:v>
                </c:pt>
                <c:pt idx="3">
                  <c:v>394.90162779</c:v>
                </c:pt>
              </c:numCache>
            </c:numRef>
          </c:val>
          <c:smooth val="0"/>
        </c:ser>
        <c:ser>
          <c:idx val="74"/>
          <c:order val="7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fuel_supply_costs.tsv!$BY$26:$BY$29</c:f>
              <c:numCache>
                <c:formatCode>General</c:formatCode>
                <c:ptCount val="4"/>
                <c:pt idx="0">
                  <c:v>9.95837991214</c:v>
                </c:pt>
                <c:pt idx="1">
                  <c:v>34.185813728</c:v>
                </c:pt>
                <c:pt idx="2">
                  <c:v>55.5426167118</c:v>
                </c:pt>
                <c:pt idx="3">
                  <c:v>119.462986464</c:v>
                </c:pt>
              </c:numCache>
            </c:numRef>
          </c:val>
          <c:smooth val="0"/>
        </c:ser>
        <c:ser>
          <c:idx val="75"/>
          <c:order val="7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fuel_supply_costs.tsv!$BZ$26:$BZ$29</c:f>
              <c:numCache>
                <c:formatCode>General</c:formatCode>
                <c:ptCount val="4"/>
                <c:pt idx="0">
                  <c:v>39.536342345</c:v>
                </c:pt>
                <c:pt idx="1">
                  <c:v>55.3041727932</c:v>
                </c:pt>
                <c:pt idx="2">
                  <c:v>99.2617285797</c:v>
                </c:pt>
                <c:pt idx="3">
                  <c:v>64.6941627099</c:v>
                </c:pt>
              </c:numCache>
            </c:numRef>
          </c:val>
          <c:smooth val="0"/>
        </c:ser>
        <c:ser>
          <c:idx val="76"/>
          <c:order val="7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fuel_supply_costs.tsv!$CA$26:$CA$29</c:f>
              <c:numCache>
                <c:formatCode>General</c:formatCode>
                <c:ptCount val="4"/>
                <c:pt idx="0">
                  <c:v>28.5733669841</c:v>
                </c:pt>
                <c:pt idx="1">
                  <c:v>20.0711261189</c:v>
                </c:pt>
                <c:pt idx="2">
                  <c:v>16.771406617</c:v>
                </c:pt>
                <c:pt idx="3">
                  <c:v>30.0802363399</c:v>
                </c:pt>
              </c:numCache>
            </c:numRef>
          </c:val>
          <c:smooth val="0"/>
        </c:ser>
        <c:ser>
          <c:idx val="77"/>
          <c:order val="7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fuel_supply_costs.tsv!$CB$26:$CB$29</c:f>
              <c:numCache>
                <c:formatCode>General</c:formatCode>
                <c:ptCount val="4"/>
                <c:pt idx="0">
                  <c:v>54.2334027873</c:v>
                </c:pt>
                <c:pt idx="1">
                  <c:v>126.112279413</c:v>
                </c:pt>
                <c:pt idx="2">
                  <c:v>176.098114128</c:v>
                </c:pt>
                <c:pt idx="3">
                  <c:v>400.362664541</c:v>
                </c:pt>
              </c:numCache>
            </c:numRef>
          </c:val>
          <c:smooth val="0"/>
        </c:ser>
        <c:ser>
          <c:idx val="78"/>
          <c:order val="7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fuel_supply_costs.tsv!$CC$26:$CC$29</c:f>
              <c:numCache>
                <c:formatCode>General</c:formatCode>
                <c:ptCount val="4"/>
                <c:pt idx="0">
                  <c:v>14.7543785024</c:v>
                </c:pt>
                <c:pt idx="1">
                  <c:v>23.5179072197</c:v>
                </c:pt>
                <c:pt idx="2">
                  <c:v>66.726290099</c:v>
                </c:pt>
                <c:pt idx="3">
                  <c:v>458.610827185</c:v>
                </c:pt>
              </c:numCache>
            </c:numRef>
          </c:val>
          <c:smooth val="0"/>
        </c:ser>
        <c:ser>
          <c:idx val="79"/>
          <c:order val="7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fuel_supply_costs.tsv!$CD$26:$CD$29</c:f>
              <c:numCache>
                <c:formatCode>General</c:formatCode>
                <c:ptCount val="4"/>
                <c:pt idx="0">
                  <c:v>21.676440194</c:v>
                </c:pt>
                <c:pt idx="1">
                  <c:v>33.9282746289</c:v>
                </c:pt>
                <c:pt idx="2">
                  <c:v>66.2302934905</c:v>
                </c:pt>
                <c:pt idx="3">
                  <c:v>381.915125743</c:v>
                </c:pt>
              </c:numCache>
            </c:numRef>
          </c:val>
          <c:smooth val="0"/>
        </c:ser>
        <c:ser>
          <c:idx val="80"/>
          <c:order val="7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fuel_supply_costs.tsv!$CE$26:$CE$29</c:f>
              <c:numCache>
                <c:formatCode>General</c:formatCode>
                <c:ptCount val="4"/>
                <c:pt idx="0">
                  <c:v>51.1661715955</c:v>
                </c:pt>
                <c:pt idx="1">
                  <c:v>100.031597188</c:v>
                </c:pt>
                <c:pt idx="2">
                  <c:v>458.929632351</c:v>
                </c:pt>
                <c:pt idx="3">
                  <c:v>1201.00111721</c:v>
                </c:pt>
              </c:numCache>
            </c:numRef>
          </c:val>
          <c:smooth val="0"/>
        </c:ser>
        <c:ser>
          <c:idx val="81"/>
          <c:order val="8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fuel_supply_costs.tsv!$CF$26:$CF$29</c:f>
              <c:numCache>
                <c:formatCode>General</c:formatCode>
                <c:ptCount val="4"/>
                <c:pt idx="0">
                  <c:v>15.0043015938</c:v>
                </c:pt>
                <c:pt idx="1">
                  <c:v>9.89722397625</c:v>
                </c:pt>
                <c:pt idx="2">
                  <c:v>29.9077649755</c:v>
                </c:pt>
                <c:pt idx="3">
                  <c:v>66.37632852599999</c:v>
                </c:pt>
              </c:numCache>
            </c:numRef>
          </c:val>
          <c:smooth val="0"/>
        </c:ser>
        <c:ser>
          <c:idx val="82"/>
          <c:order val="8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fuel_supply_costs.tsv!$CG$26:$CG$29</c:f>
              <c:numCache>
                <c:formatCode>General</c:formatCode>
                <c:ptCount val="4"/>
                <c:pt idx="0">
                  <c:v>17.7257226037</c:v>
                </c:pt>
                <c:pt idx="1">
                  <c:v>14.1258503701</c:v>
                </c:pt>
                <c:pt idx="2">
                  <c:v>7.22220427196</c:v>
                </c:pt>
                <c:pt idx="3">
                  <c:v>9.11702296237</c:v>
                </c:pt>
              </c:numCache>
            </c:numRef>
          </c:val>
          <c:smooth val="0"/>
        </c:ser>
        <c:ser>
          <c:idx val="83"/>
          <c:order val="8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fuel_supply_costs.tsv!$CH$26:$CH$29</c:f>
              <c:numCache>
                <c:formatCode>General</c:formatCode>
                <c:ptCount val="4"/>
                <c:pt idx="0">
                  <c:v>22.9049784904</c:v>
                </c:pt>
                <c:pt idx="1">
                  <c:v>38.3864678481</c:v>
                </c:pt>
                <c:pt idx="2">
                  <c:v>224.054264028</c:v>
                </c:pt>
                <c:pt idx="3">
                  <c:v>451.258538672</c:v>
                </c:pt>
              </c:numCache>
            </c:numRef>
          </c:val>
          <c:smooth val="0"/>
        </c:ser>
        <c:ser>
          <c:idx val="84"/>
          <c:order val="8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fuel_supply_costs.tsv!$CI$26:$CI$29</c:f>
              <c:numCache>
                <c:formatCode>General</c:formatCode>
                <c:ptCount val="4"/>
                <c:pt idx="0">
                  <c:v>38.94821467</c:v>
                </c:pt>
                <c:pt idx="1">
                  <c:v>26.4108623633</c:v>
                </c:pt>
                <c:pt idx="2">
                  <c:v>40.6136266977</c:v>
                </c:pt>
                <c:pt idx="3">
                  <c:v>86.1507491003</c:v>
                </c:pt>
              </c:numCache>
            </c:numRef>
          </c:val>
          <c:smooth val="0"/>
        </c:ser>
        <c:ser>
          <c:idx val="85"/>
          <c:order val="8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fuel_supply_costs.tsv!$CJ$26:$CJ$29</c:f>
              <c:numCache>
                <c:formatCode>General</c:formatCode>
                <c:ptCount val="4"/>
                <c:pt idx="0">
                  <c:v>27.5929536403</c:v>
                </c:pt>
                <c:pt idx="1">
                  <c:v>14.461117919</c:v>
                </c:pt>
                <c:pt idx="2">
                  <c:v>15.7550146439</c:v>
                </c:pt>
                <c:pt idx="3">
                  <c:v>8.95564856919</c:v>
                </c:pt>
              </c:numCache>
            </c:numRef>
          </c:val>
          <c:smooth val="0"/>
        </c:ser>
        <c:ser>
          <c:idx val="86"/>
          <c:order val="8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fuel_supply_costs.tsv!$CK$26:$CK$29</c:f>
              <c:numCache>
                <c:formatCode>General</c:formatCode>
                <c:ptCount val="4"/>
                <c:pt idx="0">
                  <c:v>19.8741104594</c:v>
                </c:pt>
                <c:pt idx="1">
                  <c:v>51.3115187764</c:v>
                </c:pt>
                <c:pt idx="2">
                  <c:v>169.769534056</c:v>
                </c:pt>
                <c:pt idx="3">
                  <c:v>255.871459108</c:v>
                </c:pt>
              </c:numCache>
            </c:numRef>
          </c:val>
          <c:smooth val="0"/>
        </c:ser>
        <c:ser>
          <c:idx val="87"/>
          <c:order val="8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fuel_supply_costs.tsv!$CL$26:$CL$29</c:f>
              <c:numCache>
                <c:formatCode>General</c:formatCode>
                <c:ptCount val="4"/>
                <c:pt idx="0">
                  <c:v>21.7887997271</c:v>
                </c:pt>
                <c:pt idx="1">
                  <c:v>36.7058219943</c:v>
                </c:pt>
                <c:pt idx="2">
                  <c:v>34.5453153372</c:v>
                </c:pt>
                <c:pt idx="3">
                  <c:v>18.2857295353</c:v>
                </c:pt>
              </c:numCache>
            </c:numRef>
          </c:val>
          <c:smooth val="0"/>
        </c:ser>
        <c:ser>
          <c:idx val="88"/>
          <c:order val="8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fuel_supply_costs.tsv!$CM$26:$CM$29</c:f>
              <c:numCache>
                <c:formatCode>General</c:formatCode>
                <c:ptCount val="4"/>
                <c:pt idx="0">
                  <c:v>45.6785517284</c:v>
                </c:pt>
                <c:pt idx="1">
                  <c:v>61.5660330147</c:v>
                </c:pt>
                <c:pt idx="2">
                  <c:v>144.076533604</c:v>
                </c:pt>
                <c:pt idx="3">
                  <c:v>234.488762758</c:v>
                </c:pt>
              </c:numCache>
            </c:numRef>
          </c:val>
          <c:smooth val="0"/>
        </c:ser>
        <c:ser>
          <c:idx val="89"/>
          <c:order val="8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fuel_supply_costs.tsv!$CN$26:$CN$29</c:f>
              <c:numCache>
                <c:formatCode>General</c:formatCode>
                <c:ptCount val="4"/>
                <c:pt idx="0">
                  <c:v>56.4690357548</c:v>
                </c:pt>
                <c:pt idx="1">
                  <c:v>97.9949910739</c:v>
                </c:pt>
                <c:pt idx="2">
                  <c:v>303.363028383</c:v>
                </c:pt>
                <c:pt idx="3">
                  <c:v>530.639526476</c:v>
                </c:pt>
              </c:numCache>
            </c:numRef>
          </c:val>
          <c:smooth val="0"/>
        </c:ser>
        <c:ser>
          <c:idx val="90"/>
          <c:order val="8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fuel_supply_costs.tsv!$CO$26:$CO$29</c:f>
              <c:numCache>
                <c:formatCode>General</c:formatCode>
                <c:ptCount val="4"/>
                <c:pt idx="0">
                  <c:v>22.8641170529</c:v>
                </c:pt>
                <c:pt idx="1">
                  <c:v>78.6445278183</c:v>
                </c:pt>
                <c:pt idx="2">
                  <c:v>78.0090462292</c:v>
                </c:pt>
                <c:pt idx="3">
                  <c:v>182.272204114</c:v>
                </c:pt>
              </c:numCache>
            </c:numRef>
          </c:val>
          <c:smooth val="0"/>
        </c:ser>
        <c:ser>
          <c:idx val="91"/>
          <c:order val="9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fuel_supply_costs.tsv!$CP$26:$CP$29</c:f>
              <c:numCache>
                <c:formatCode>General</c:formatCode>
                <c:ptCount val="4"/>
                <c:pt idx="0">
                  <c:v>34.1267557302</c:v>
                </c:pt>
                <c:pt idx="1">
                  <c:v>76.6500992211</c:v>
                </c:pt>
                <c:pt idx="2">
                  <c:v>163.104165905</c:v>
                </c:pt>
                <c:pt idx="3">
                  <c:v>422.10260697</c:v>
                </c:pt>
              </c:numCache>
            </c:numRef>
          </c:val>
          <c:smooth val="0"/>
        </c:ser>
        <c:ser>
          <c:idx val="92"/>
          <c:order val="9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fuel_supply_costs.tsv!$CQ$26:$CQ$29</c:f>
              <c:numCache>
                <c:formatCode>General</c:formatCode>
                <c:ptCount val="4"/>
                <c:pt idx="0">
                  <c:v>25.9515487942</c:v>
                </c:pt>
                <c:pt idx="1">
                  <c:v>64.9214645759</c:v>
                </c:pt>
                <c:pt idx="2">
                  <c:v>139.155135018</c:v>
                </c:pt>
                <c:pt idx="3">
                  <c:v>120.625108765</c:v>
                </c:pt>
              </c:numCache>
            </c:numRef>
          </c:val>
          <c:smooth val="0"/>
        </c:ser>
        <c:ser>
          <c:idx val="93"/>
          <c:order val="9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fuel_supply_costs.tsv!$CR$26:$CR$29</c:f>
              <c:numCache>
                <c:formatCode>General</c:formatCode>
                <c:ptCount val="4"/>
                <c:pt idx="0">
                  <c:v>17.9490113652</c:v>
                </c:pt>
                <c:pt idx="1">
                  <c:v>42.3962966329</c:v>
                </c:pt>
                <c:pt idx="2">
                  <c:v>61.4558363534</c:v>
                </c:pt>
                <c:pt idx="3">
                  <c:v>233.094025093</c:v>
                </c:pt>
              </c:numCache>
            </c:numRef>
          </c:val>
          <c:smooth val="0"/>
        </c:ser>
        <c:ser>
          <c:idx val="94"/>
          <c:order val="9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fuel_supply_costs.tsv!$CS$26:$CS$29</c:f>
              <c:numCache>
                <c:formatCode>General</c:formatCode>
                <c:ptCount val="4"/>
                <c:pt idx="0">
                  <c:v>20.2254958761</c:v>
                </c:pt>
                <c:pt idx="1">
                  <c:v>57.62802099</c:v>
                </c:pt>
                <c:pt idx="2">
                  <c:v>204.183436117</c:v>
                </c:pt>
                <c:pt idx="3">
                  <c:v>260.829543006</c:v>
                </c:pt>
              </c:numCache>
            </c:numRef>
          </c:val>
          <c:smooth val="0"/>
        </c:ser>
        <c:ser>
          <c:idx val="95"/>
          <c:order val="9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fuel_supply_costs.tsv!$CT$26:$CT$29</c:f>
              <c:numCache>
                <c:formatCode>General</c:formatCode>
                <c:ptCount val="4"/>
                <c:pt idx="0">
                  <c:v>16.5692743569</c:v>
                </c:pt>
                <c:pt idx="1">
                  <c:v>14.1800305146</c:v>
                </c:pt>
                <c:pt idx="2">
                  <c:v>24.2331542522</c:v>
                </c:pt>
                <c:pt idx="3">
                  <c:v>60.8693408687</c:v>
                </c:pt>
              </c:numCache>
            </c:numRef>
          </c:val>
          <c:smooth val="0"/>
        </c:ser>
        <c:ser>
          <c:idx val="96"/>
          <c:order val="9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fuel_supply_costs.tsv!$CU$26:$CU$29</c:f>
              <c:numCache>
                <c:formatCode>General</c:formatCode>
                <c:ptCount val="4"/>
                <c:pt idx="0">
                  <c:v>48.2348875715</c:v>
                </c:pt>
                <c:pt idx="1">
                  <c:v>44.3783276995</c:v>
                </c:pt>
                <c:pt idx="2">
                  <c:v>95.4375467661</c:v>
                </c:pt>
                <c:pt idx="3">
                  <c:v>86.33030080429999</c:v>
                </c:pt>
              </c:numCache>
            </c:numRef>
          </c:val>
          <c:smooth val="0"/>
        </c:ser>
        <c:ser>
          <c:idx val="97"/>
          <c:order val="9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fuel_supply_costs.tsv!$CV$26:$CV$29</c:f>
              <c:numCache>
                <c:formatCode>General</c:formatCode>
                <c:ptCount val="4"/>
                <c:pt idx="0">
                  <c:v>64.07874963659999</c:v>
                </c:pt>
                <c:pt idx="1">
                  <c:v>80.96217225940001</c:v>
                </c:pt>
                <c:pt idx="2">
                  <c:v>93.3423019403</c:v>
                </c:pt>
                <c:pt idx="3">
                  <c:v>46.8788391741</c:v>
                </c:pt>
              </c:numCache>
            </c:numRef>
          </c:val>
          <c:smooth val="0"/>
        </c:ser>
        <c:ser>
          <c:idx val="98"/>
          <c:order val="9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fuel_supply_costs.tsv!$CW$26:$CW$29</c:f>
              <c:numCache>
                <c:formatCode>General</c:formatCode>
                <c:ptCount val="4"/>
                <c:pt idx="0">
                  <c:v>33.2022034068</c:v>
                </c:pt>
                <c:pt idx="1">
                  <c:v>56.9945143276</c:v>
                </c:pt>
                <c:pt idx="2">
                  <c:v>124.731851313</c:v>
                </c:pt>
                <c:pt idx="3">
                  <c:v>135.671002327</c:v>
                </c:pt>
              </c:numCache>
            </c:numRef>
          </c:val>
          <c:smooth val="0"/>
        </c:ser>
        <c:ser>
          <c:idx val="99"/>
          <c:order val="9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fuel_supply_costs.tsv!$CX$26:$CX$29</c:f>
              <c:numCache>
                <c:formatCode>General</c:formatCode>
                <c:ptCount val="4"/>
                <c:pt idx="0">
                  <c:v>70.655736625</c:v>
                </c:pt>
                <c:pt idx="1">
                  <c:v>132.309561118</c:v>
                </c:pt>
                <c:pt idx="2">
                  <c:v>99.42555710009999</c:v>
                </c:pt>
                <c:pt idx="3">
                  <c:v>133.668104246</c:v>
                </c:pt>
              </c:numCache>
            </c:numRef>
          </c:val>
          <c:smooth val="0"/>
        </c:ser>
        <c:ser>
          <c:idx val="100"/>
          <c:order val="9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fuel_supply_costs.tsv!$CY$26:$CY$29</c:f>
              <c:numCache>
                <c:formatCode>General</c:formatCode>
                <c:ptCount val="4"/>
                <c:pt idx="0">
                  <c:v>13.7017403244</c:v>
                </c:pt>
                <c:pt idx="1">
                  <c:v>23.2869376162</c:v>
                </c:pt>
                <c:pt idx="2">
                  <c:v>100.098209972</c:v>
                </c:pt>
                <c:pt idx="3">
                  <c:v>138.779041207</c:v>
                </c:pt>
              </c:numCache>
            </c:numRef>
          </c:val>
          <c:smooth val="0"/>
        </c:ser>
        <c:ser>
          <c:idx val="101"/>
          <c:order val="10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fuel_supply_costs.tsv!$CZ$26:$CZ$29</c:f>
              <c:numCache>
                <c:formatCode>General</c:formatCode>
                <c:ptCount val="4"/>
                <c:pt idx="0">
                  <c:v>46.2895581251</c:v>
                </c:pt>
                <c:pt idx="1">
                  <c:v>31.83089197</c:v>
                </c:pt>
                <c:pt idx="2">
                  <c:v>67.7794588114</c:v>
                </c:pt>
                <c:pt idx="3">
                  <c:v>181.709003574</c:v>
                </c:pt>
              </c:numCache>
            </c:numRef>
          </c:val>
          <c:smooth val="0"/>
        </c:ser>
        <c:ser>
          <c:idx val="102"/>
          <c:order val="10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fuel_supply_costs.tsv!$DA$26:$DA$29</c:f>
              <c:numCache>
                <c:formatCode>General</c:formatCode>
                <c:ptCount val="4"/>
                <c:pt idx="0">
                  <c:v>22.8912669829</c:v>
                </c:pt>
                <c:pt idx="1">
                  <c:v>28.6810223671</c:v>
                </c:pt>
                <c:pt idx="2">
                  <c:v>81.9519210394</c:v>
                </c:pt>
                <c:pt idx="3">
                  <c:v>178.854225762</c:v>
                </c:pt>
              </c:numCache>
            </c:numRef>
          </c:val>
          <c:smooth val="0"/>
        </c:ser>
        <c:ser>
          <c:idx val="103"/>
          <c:order val="10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fuel_supply_costs.tsv!$DB$26:$DB$29</c:f>
              <c:numCache>
                <c:formatCode>General</c:formatCode>
                <c:ptCount val="4"/>
                <c:pt idx="0">
                  <c:v>19.5683773942</c:v>
                </c:pt>
                <c:pt idx="1">
                  <c:v>17.9393517203</c:v>
                </c:pt>
                <c:pt idx="2">
                  <c:v>24.4481899283</c:v>
                </c:pt>
                <c:pt idx="3">
                  <c:v>18.5989707581</c:v>
                </c:pt>
              </c:numCache>
            </c:numRef>
          </c:val>
          <c:smooth val="0"/>
        </c:ser>
        <c:ser>
          <c:idx val="104"/>
          <c:order val="10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fuel_supply_costs.tsv!$DC$26:$DC$29</c:f>
              <c:numCache>
                <c:formatCode>General</c:formatCode>
                <c:ptCount val="4"/>
                <c:pt idx="0">
                  <c:v>10.3660963726</c:v>
                </c:pt>
                <c:pt idx="1">
                  <c:v>6.05984697285</c:v>
                </c:pt>
                <c:pt idx="2">
                  <c:v>4.20634963493</c:v>
                </c:pt>
                <c:pt idx="3">
                  <c:v>8.88487510453</c:v>
                </c:pt>
              </c:numCache>
            </c:numRef>
          </c:val>
          <c:smooth val="0"/>
        </c:ser>
        <c:ser>
          <c:idx val="105"/>
          <c:order val="10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fuel_supply_costs.tsv!$DD$26:$DD$29</c:f>
              <c:numCache>
                <c:formatCode>General</c:formatCode>
                <c:ptCount val="4"/>
                <c:pt idx="0">
                  <c:v>11.3244649131</c:v>
                </c:pt>
                <c:pt idx="1">
                  <c:v>14.4620470187</c:v>
                </c:pt>
                <c:pt idx="2">
                  <c:v>26.8671049612</c:v>
                </c:pt>
                <c:pt idx="3">
                  <c:v>50.6257916159</c:v>
                </c:pt>
              </c:numCache>
            </c:numRef>
          </c:val>
          <c:smooth val="0"/>
        </c:ser>
        <c:ser>
          <c:idx val="106"/>
          <c:order val="10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fuel_supply_costs.tsv!$DE$26:$DE$29</c:f>
              <c:numCache>
                <c:formatCode>General</c:formatCode>
                <c:ptCount val="4"/>
                <c:pt idx="0">
                  <c:v>60.3336732229</c:v>
                </c:pt>
                <c:pt idx="1">
                  <c:v>85.1917360522</c:v>
                </c:pt>
                <c:pt idx="2">
                  <c:v>148.503107444</c:v>
                </c:pt>
                <c:pt idx="3">
                  <c:v>239.729931228</c:v>
                </c:pt>
              </c:numCache>
            </c:numRef>
          </c:val>
          <c:smooth val="0"/>
        </c:ser>
        <c:ser>
          <c:idx val="107"/>
          <c:order val="10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fuel_supply_costs.tsv!$DF$26:$DF$29</c:f>
              <c:numCache>
                <c:formatCode>General</c:formatCode>
                <c:ptCount val="4"/>
                <c:pt idx="0">
                  <c:v>23.5730320295</c:v>
                </c:pt>
                <c:pt idx="1">
                  <c:v>42.23871607</c:v>
                </c:pt>
                <c:pt idx="2">
                  <c:v>417.163179522</c:v>
                </c:pt>
                <c:pt idx="3">
                  <c:v>242.434051545</c:v>
                </c:pt>
              </c:numCache>
            </c:numRef>
          </c:val>
          <c:smooth val="0"/>
        </c:ser>
        <c:ser>
          <c:idx val="108"/>
          <c:order val="10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fuel_supply_costs.tsv!$DG$26:$DG$29</c:f>
              <c:numCache>
                <c:formatCode>General</c:formatCode>
                <c:ptCount val="4"/>
                <c:pt idx="0">
                  <c:v>36.7842513924</c:v>
                </c:pt>
                <c:pt idx="1">
                  <c:v>29.2067123829</c:v>
                </c:pt>
                <c:pt idx="2">
                  <c:v>21.908067223</c:v>
                </c:pt>
                <c:pt idx="3">
                  <c:v>39.6077482928</c:v>
                </c:pt>
              </c:numCache>
            </c:numRef>
          </c:val>
          <c:smooth val="0"/>
        </c:ser>
        <c:ser>
          <c:idx val="109"/>
          <c:order val="10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fuel_supply_costs.tsv!$DH$26:$DH$29</c:f>
              <c:numCache>
                <c:formatCode>General</c:formatCode>
                <c:ptCount val="4"/>
                <c:pt idx="0">
                  <c:v>12.7013127476</c:v>
                </c:pt>
                <c:pt idx="1">
                  <c:v>21.0563292891</c:v>
                </c:pt>
                <c:pt idx="2">
                  <c:v>64.7274107974</c:v>
                </c:pt>
                <c:pt idx="3">
                  <c:v>182.64547328</c:v>
                </c:pt>
              </c:numCache>
            </c:numRef>
          </c:val>
          <c:smooth val="0"/>
        </c:ser>
        <c:ser>
          <c:idx val="110"/>
          <c:order val="10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fuel_supply_costs.tsv!$DI$26:$DI$29</c:f>
              <c:numCache>
                <c:formatCode>General</c:formatCode>
                <c:ptCount val="4"/>
                <c:pt idx="0">
                  <c:v>42.9400246259</c:v>
                </c:pt>
                <c:pt idx="1">
                  <c:v>43.8945689472</c:v>
                </c:pt>
                <c:pt idx="2">
                  <c:v>230.273744291</c:v>
                </c:pt>
                <c:pt idx="3">
                  <c:v>279.278314099</c:v>
                </c:pt>
              </c:numCache>
            </c:numRef>
          </c:val>
          <c:smooth val="0"/>
        </c:ser>
        <c:ser>
          <c:idx val="111"/>
          <c:order val="1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fuel_supply_costs.tsv!$DJ$26:$DJ$29</c:f>
              <c:numCache>
                <c:formatCode>General</c:formatCode>
                <c:ptCount val="4"/>
                <c:pt idx="0">
                  <c:v>63.6854340381</c:v>
                </c:pt>
                <c:pt idx="1">
                  <c:v>140.419832429</c:v>
                </c:pt>
                <c:pt idx="2">
                  <c:v>321.640755516</c:v>
                </c:pt>
                <c:pt idx="3">
                  <c:v>861.241535076</c:v>
                </c:pt>
              </c:numCache>
            </c:numRef>
          </c:val>
          <c:smooth val="0"/>
        </c:ser>
        <c:ser>
          <c:idx val="112"/>
          <c:order val="1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fuel_supply_costs.tsv!$DK$26:$DK$29</c:f>
              <c:numCache>
                <c:formatCode>General</c:formatCode>
                <c:ptCount val="4"/>
                <c:pt idx="0">
                  <c:v>32.0946641655</c:v>
                </c:pt>
                <c:pt idx="1">
                  <c:v>35.0477567831</c:v>
                </c:pt>
                <c:pt idx="2">
                  <c:v>72.6878029468</c:v>
                </c:pt>
                <c:pt idx="3">
                  <c:v>59.6411591531</c:v>
                </c:pt>
              </c:numCache>
            </c:numRef>
          </c:val>
          <c:smooth val="0"/>
        </c:ser>
        <c:ser>
          <c:idx val="113"/>
          <c:order val="1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fuel_supply_costs.tsv!$DL$26:$DL$29</c:f>
              <c:numCache>
                <c:formatCode>General</c:formatCode>
                <c:ptCount val="4"/>
                <c:pt idx="0">
                  <c:v>27.7602504009</c:v>
                </c:pt>
                <c:pt idx="1">
                  <c:v>11.5898691389</c:v>
                </c:pt>
                <c:pt idx="2">
                  <c:v>14.7346249407</c:v>
                </c:pt>
                <c:pt idx="3">
                  <c:v>37.3592790625</c:v>
                </c:pt>
              </c:numCache>
            </c:numRef>
          </c:val>
          <c:smooth val="0"/>
        </c:ser>
        <c:ser>
          <c:idx val="114"/>
          <c:order val="1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fuel_supply_costs.tsv!$DM$26:$DM$29</c:f>
              <c:numCache>
                <c:formatCode>General</c:formatCode>
                <c:ptCount val="4"/>
                <c:pt idx="0">
                  <c:v>16.5461683948</c:v>
                </c:pt>
                <c:pt idx="1">
                  <c:v>24.4915903362</c:v>
                </c:pt>
                <c:pt idx="2">
                  <c:v>42.5925527768</c:v>
                </c:pt>
                <c:pt idx="3">
                  <c:v>40.3933663228</c:v>
                </c:pt>
              </c:numCache>
            </c:numRef>
          </c:val>
          <c:smooth val="0"/>
        </c:ser>
        <c:ser>
          <c:idx val="115"/>
          <c:order val="1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fuel_supply_costs.tsv!$DN$26:$DN$29</c:f>
              <c:numCache>
                <c:formatCode>General</c:formatCode>
                <c:ptCount val="4"/>
                <c:pt idx="0">
                  <c:v>26.5323072485</c:v>
                </c:pt>
                <c:pt idx="1">
                  <c:v>19.2786482931</c:v>
                </c:pt>
                <c:pt idx="2">
                  <c:v>5.57095681123</c:v>
                </c:pt>
                <c:pt idx="3">
                  <c:v>22.9171420331</c:v>
                </c:pt>
              </c:numCache>
            </c:numRef>
          </c:val>
          <c:smooth val="0"/>
        </c:ser>
        <c:ser>
          <c:idx val="116"/>
          <c:order val="1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fuel_supply_costs.tsv!$DO$26:$DO$29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ser>
          <c:idx val="0"/>
          <c:order val="116"/>
          <c:tx>
            <c:strRef>
              <c:f>fuel_supply_costs.tsv!$A$38</c:f>
              <c:strCache>
                <c:ptCount val="1"/>
                <c:pt idx="0">
                  <c:v>Mean - LSFO-Diesel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fuel_supply_costs.tsv!$C$38:$C$41</c:f>
              <c:numCache>
                <c:formatCode>General</c:formatCode>
                <c:ptCount val="4"/>
                <c:pt idx="0">
                  <c:v>30.31156438254565</c:v>
                </c:pt>
                <c:pt idx="1">
                  <c:v>57.81771062231623</c:v>
                </c:pt>
                <c:pt idx="2">
                  <c:v>145.0089969632687</c:v>
                </c:pt>
                <c:pt idx="3">
                  <c:v>294.3909251535912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3559464"/>
        <c:axId val="-2134384456"/>
      </c:lineChart>
      <c:catAx>
        <c:axId val="-213355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4384456"/>
        <c:crosses val="autoZero"/>
        <c:auto val="1"/>
        <c:lblAlgn val="ctr"/>
        <c:lblOffset val="100"/>
        <c:noMultiLvlLbl val="0"/>
      </c:catAx>
      <c:valAx>
        <c:axId val="-2134384456"/>
        <c:scaling>
          <c:orientation val="minMax"/>
          <c:max val="40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355946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LNG</a:t>
            </a:r>
          </a:p>
        </c:rich>
      </c:tx>
      <c:layout>
        <c:manualLayout>
          <c:xMode val="edge"/>
          <c:yMode val="edge"/>
          <c:x val="0.449386187610346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5118917827579"/>
          <c:y val="0.115241635687732"/>
          <c:w val="0.498932364223703"/>
          <c:h val="0.776889617422357"/>
        </c:manualLayout>
      </c:layout>
      <c:lineChart>
        <c:grouping val="standard"/>
        <c:varyColors val="0"/>
        <c:ser>
          <c:idx val="0"/>
          <c:order val="0"/>
          <c:tx>
            <c:strRef>
              <c:f>fuel_supply_costs.tsv!$C$63</c:f>
              <c:strCache>
                <c:ptCount val="1"/>
                <c:pt idx="0">
                  <c:v>min/min</c:v>
                </c:pt>
              </c:strCache>
            </c:strRef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fuel_supply_costs.tsv!$C$64:$C$67</c:f>
              <c:numCache>
                <c:formatCode>General</c:formatCode>
                <c:ptCount val="4"/>
                <c:pt idx="0">
                  <c:v>7.44392375154</c:v>
                </c:pt>
                <c:pt idx="1">
                  <c:v>6.0022482331</c:v>
                </c:pt>
                <c:pt idx="2">
                  <c:v>6.00055169188</c:v>
                </c:pt>
                <c:pt idx="3">
                  <c:v>6.00525621192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fuel_supply_costs.tsv!$D$63</c:f>
              <c:strCache>
                <c:ptCount val="1"/>
                <c:pt idx="0">
                  <c:v>min/max</c:v>
                </c:pt>
              </c:strCache>
            </c:strRef>
          </c:tx>
          <c:spPr>
            <a:ln w="25400">
              <a:solidFill>
                <a:srgbClr val="BD00FF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fuel_supply_costs.tsv!$D$64:$D$67</c:f>
              <c:numCache>
                <c:formatCode>General</c:formatCode>
                <c:ptCount val="4"/>
                <c:pt idx="0">
                  <c:v>6.35319729667</c:v>
                </c:pt>
                <c:pt idx="1">
                  <c:v>6.27430190052</c:v>
                </c:pt>
                <c:pt idx="2">
                  <c:v>6.25914695085</c:v>
                </c:pt>
                <c:pt idx="3">
                  <c:v>6.23238547996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fuel_supply_costs.tsv!$E$63</c:f>
              <c:strCache>
                <c:ptCount val="1"/>
                <c:pt idx="0">
                  <c:v>max/min</c:v>
                </c:pt>
              </c:strCache>
            </c:strRef>
          </c:tx>
          <c:spPr>
            <a:ln w="25400">
              <a:solidFill>
                <a:srgbClr val="FF8000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fuel_supply_costs.tsv!$E$64:$E$67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fuel_supply_costs.tsv!$F$63</c:f>
              <c:strCache>
                <c:ptCount val="1"/>
                <c:pt idx="0">
                  <c:v>max/max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fuel_supply_costs.tsv!$F$64:$F$67</c:f>
              <c:numCache>
                <c:formatCode>General</c:formatCode>
                <c:ptCount val="4"/>
                <c:pt idx="0">
                  <c:v>23.5651213779</c:v>
                </c:pt>
                <c:pt idx="1">
                  <c:v>370.117977118</c:v>
                </c:pt>
                <c:pt idx="2">
                  <c:v>502.25907228</c:v>
                </c:pt>
                <c:pt idx="3">
                  <c:v>1307.23265704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fuel_supply_costs.tsv!$G$63</c:f>
              <c:strCache>
                <c:ptCount val="1"/>
                <c:pt idx="0">
                  <c:v>med/med</c:v>
                </c:pt>
              </c:strCache>
            </c:strRef>
          </c:tx>
          <c:spPr>
            <a:ln w="25400">
              <a:solidFill>
                <a:srgbClr val="7F7F7F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fuel_supply_costs.tsv!$G$64:$G$67</c:f>
              <c:numCache>
                <c:formatCode>General</c:formatCode>
                <c:ptCount val="4"/>
                <c:pt idx="0">
                  <c:v>16.1777610925</c:v>
                </c:pt>
                <c:pt idx="1">
                  <c:v>9.43501876924</c:v>
                </c:pt>
                <c:pt idx="2">
                  <c:v>6.3814374082</c:v>
                </c:pt>
                <c:pt idx="3">
                  <c:v>6.2720742915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fuel_supply_costs.tsv!$H$63</c:f>
              <c:strCache>
                <c:ptCount val="1"/>
                <c:pt idx="0">
                  <c:v>mean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fuel_supply_costs.tsv!$B$64:$B$67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fuel_supply_costs.tsv!$H$64:$H$67</c:f>
              <c:numCache>
                <c:formatCode>General</c:formatCode>
                <c:ptCount val="4"/>
                <c:pt idx="0">
                  <c:v>13.29643468255111</c:v>
                </c:pt>
                <c:pt idx="1">
                  <c:v>32.60396302802034</c:v>
                </c:pt>
                <c:pt idx="2">
                  <c:v>109.9645485225868</c:v>
                </c:pt>
                <c:pt idx="3">
                  <c:v>108.3707913668539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4406648"/>
        <c:axId val="-2144245160"/>
      </c:lineChart>
      <c:catAx>
        <c:axId val="-2124406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44245160"/>
        <c:crosses val="autoZero"/>
        <c:auto val="1"/>
        <c:lblAlgn val="ctr"/>
        <c:lblOffset val="100"/>
        <c:noMultiLvlLbl val="0"/>
      </c:catAx>
      <c:valAx>
        <c:axId val="-2144245160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 b="1" i="0" baseline="0">
                    <a:effectLst/>
                  </a:rPr>
                  <a:t>fuel price, $/MMBtu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00196399345335515"/>
              <c:y val="0.2697034803735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244066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>
        <c:manualLayout>
          <c:xMode val="edge"/>
          <c:yMode val="edge"/>
          <c:x val="0.295539942122619"/>
          <c:y val="0.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5118917827579"/>
          <c:y val="0.115241635687732"/>
          <c:w val="0.498932364223703"/>
          <c:h val="0.776889617422357"/>
        </c:manualLayout>
      </c:layout>
      <c:lineChart>
        <c:grouping val="standard"/>
        <c:varyColors val="0"/>
        <c:ser>
          <c:idx val="0"/>
          <c:order val="0"/>
          <c:tx>
            <c:strRef>
              <c:f>fuel_supply_costs.tsv!$C$63</c:f>
              <c:strCache>
                <c:ptCount val="1"/>
                <c:pt idx="0">
                  <c:v>min/min</c:v>
                </c:pt>
              </c:strCache>
            </c:strRef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fuel_supply_costs.tsv!$C$68:$C$71</c:f>
              <c:numCache>
                <c:formatCode>General</c:formatCode>
                <c:ptCount val="4"/>
                <c:pt idx="0">
                  <c:v>16.3793454963</c:v>
                </c:pt>
                <c:pt idx="1">
                  <c:v>7.43664212692</c:v>
                </c:pt>
                <c:pt idx="2">
                  <c:v>8.53919696177</c:v>
                </c:pt>
                <c:pt idx="3">
                  <c:v>16.8077657889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fuel_supply_costs.tsv!$D$63</c:f>
              <c:strCache>
                <c:ptCount val="1"/>
                <c:pt idx="0">
                  <c:v>min/max</c:v>
                </c:pt>
              </c:strCache>
            </c:strRef>
          </c:tx>
          <c:spPr>
            <a:ln w="25400">
              <a:solidFill>
                <a:srgbClr val="BD00FF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fuel_supply_costs.tsv!$D$68:$D$71</c:f>
              <c:numCache>
                <c:formatCode>General</c:formatCode>
                <c:ptCount val="4"/>
                <c:pt idx="0">
                  <c:v>32.7110053247</c:v>
                </c:pt>
                <c:pt idx="1">
                  <c:v>123.195952236</c:v>
                </c:pt>
                <c:pt idx="2">
                  <c:v>331.631331571</c:v>
                </c:pt>
                <c:pt idx="3">
                  <c:v>910.929052276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fuel_supply_costs.tsv!$E$63</c:f>
              <c:strCache>
                <c:ptCount val="1"/>
                <c:pt idx="0">
                  <c:v>max/min</c:v>
                </c:pt>
              </c:strCache>
            </c:strRef>
          </c:tx>
          <c:spPr>
            <a:ln w="25400">
              <a:solidFill>
                <a:srgbClr val="FF8000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fuel_supply_costs.tsv!$E$68:$E$71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fuel_supply_costs.tsv!$F$63</c:f>
              <c:strCache>
                <c:ptCount val="1"/>
                <c:pt idx="0">
                  <c:v>max/max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fuel_supply_costs.tsv!$F$68:$F$71</c:f>
              <c:numCache>
                <c:formatCode>General</c:formatCode>
                <c:ptCount val="4"/>
                <c:pt idx="0">
                  <c:v>51.1661715955</c:v>
                </c:pt>
                <c:pt idx="1">
                  <c:v>100.031597188</c:v>
                </c:pt>
                <c:pt idx="2">
                  <c:v>458.929632351</c:v>
                </c:pt>
                <c:pt idx="3">
                  <c:v>1201.00111721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fuel_supply_costs.tsv!$G$63</c:f>
              <c:strCache>
                <c:ptCount val="1"/>
                <c:pt idx="0">
                  <c:v>med/med</c:v>
                </c:pt>
              </c:strCache>
            </c:strRef>
          </c:tx>
          <c:spPr>
            <a:ln w="25400">
              <a:solidFill>
                <a:srgbClr val="7F7F7F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fuel_supply_costs.tsv!$G$68:$G$71</c:f>
              <c:numCache>
                <c:formatCode>General</c:formatCode>
                <c:ptCount val="4"/>
                <c:pt idx="0">
                  <c:v>26.2077219507</c:v>
                </c:pt>
                <c:pt idx="1">
                  <c:v>33.4209867763</c:v>
                </c:pt>
                <c:pt idx="2">
                  <c:v>113.969060008</c:v>
                </c:pt>
                <c:pt idx="3">
                  <c:v>85.9299000247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fuel_supply_costs.tsv!$H$63</c:f>
              <c:strCache>
                <c:ptCount val="1"/>
                <c:pt idx="0">
                  <c:v>mean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fuel_supply_costs.tsv!$B$68:$B$71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fuel_supply_costs.tsv!$H$68:$H$71</c:f>
              <c:numCache>
                <c:formatCode>General</c:formatCode>
                <c:ptCount val="4"/>
                <c:pt idx="0">
                  <c:v>30.31156438254565</c:v>
                </c:pt>
                <c:pt idx="1">
                  <c:v>57.81771062231623</c:v>
                </c:pt>
                <c:pt idx="2">
                  <c:v>145.0089969632687</c:v>
                </c:pt>
                <c:pt idx="3">
                  <c:v>294.3909251535912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2697624"/>
        <c:axId val="-2132989528"/>
      </c:lineChart>
      <c:catAx>
        <c:axId val="-2112697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132989528"/>
        <c:crosses val="autoZero"/>
        <c:auto val="1"/>
        <c:lblAlgn val="ctr"/>
        <c:lblOffset val="100"/>
        <c:noMultiLvlLbl val="0"/>
      </c:catAx>
      <c:valAx>
        <c:axId val="-2132989528"/>
        <c:scaling>
          <c:logBase val="10.0"/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2112697624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2</xdr:row>
      <xdr:rowOff>63500</xdr:rowOff>
    </xdr:from>
    <xdr:to>
      <xdr:col>14</xdr:col>
      <xdr:colOff>520700</xdr:colOff>
      <xdr:row>18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558800</xdr:colOff>
      <xdr:row>19</xdr:row>
      <xdr:rowOff>63500</xdr:rowOff>
    </xdr:from>
    <xdr:to>
      <xdr:col>14</xdr:col>
      <xdr:colOff>533400</xdr:colOff>
      <xdr:row>35</xdr:row>
      <xdr:rowOff>101600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</xdr:row>
      <xdr:rowOff>76200</xdr:rowOff>
    </xdr:from>
    <xdr:to>
      <xdr:col>19</xdr:col>
      <xdr:colOff>444500</xdr:colOff>
      <xdr:row>18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495300</xdr:colOff>
      <xdr:row>2</xdr:row>
      <xdr:rowOff>50800</xdr:rowOff>
    </xdr:from>
    <xdr:to>
      <xdr:col>24</xdr:col>
      <xdr:colOff>114300</xdr:colOff>
      <xdr:row>18</xdr:row>
      <xdr:rowOff>88900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20</xdr:row>
      <xdr:rowOff>25400</xdr:rowOff>
    </xdr:from>
    <xdr:to>
      <xdr:col>19</xdr:col>
      <xdr:colOff>444500</xdr:colOff>
      <xdr:row>36</xdr:row>
      <xdr:rowOff>63500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495300</xdr:colOff>
      <xdr:row>20</xdr:row>
      <xdr:rowOff>0</xdr:rowOff>
    </xdr:from>
    <xdr:to>
      <xdr:col>24</xdr:col>
      <xdr:colOff>114300</xdr:colOff>
      <xdr:row>36</xdr:row>
      <xdr:rowOff>38100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158750</xdr:colOff>
      <xdr:row>56</xdr:row>
      <xdr:rowOff>63500</xdr:rowOff>
    </xdr:from>
    <xdr:to>
      <xdr:col>13</xdr:col>
      <xdr:colOff>571500</xdr:colOff>
      <xdr:row>72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685800</xdr:colOff>
      <xdr:row>56</xdr:row>
      <xdr:rowOff>63500</xdr:rowOff>
    </xdr:from>
    <xdr:to>
      <xdr:col>16</xdr:col>
      <xdr:colOff>273050</xdr:colOff>
      <xdr:row>72</xdr:row>
      <xdr:rowOff>177800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O71"/>
  <sheetViews>
    <sheetView tabSelected="1" topLeftCell="A42" workbookViewId="0">
      <selection activeCell="E62" sqref="E62"/>
    </sheetView>
  </sheetViews>
  <sheetFormatPr baseColWidth="10" defaultRowHeight="15" x14ac:dyDescent="0"/>
  <cols>
    <col min="1" max="1" width="20.5" customWidth="1"/>
  </cols>
  <sheetData>
    <row r="1" spans="1:119">
      <c r="A1" t="s">
        <v>0</v>
      </c>
      <c r="B1" t="s">
        <v>1</v>
      </c>
      <c r="C1" t="s">
        <v>2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1:119">
      <c r="A2" t="s">
        <v>3</v>
      </c>
      <c r="B2">
        <v>2021</v>
      </c>
      <c r="C2">
        <v>53.808855570399999</v>
      </c>
      <c r="D2">
        <v>42.2800001413</v>
      </c>
      <c r="E2">
        <v>76.919284476599998</v>
      </c>
      <c r="F2">
        <v>39.663252643900002</v>
      </c>
      <c r="G2">
        <v>30.8273984667</v>
      </c>
      <c r="H2">
        <v>25.120463920999999</v>
      </c>
      <c r="I2">
        <v>33.9227494358</v>
      </c>
      <c r="J2">
        <v>49.575093335600002</v>
      </c>
      <c r="K2">
        <v>33.315785753299998</v>
      </c>
      <c r="L2">
        <v>50.522731902700002</v>
      </c>
      <c r="M2">
        <v>49.724489282699999</v>
      </c>
      <c r="N2">
        <v>25.861129506899999</v>
      </c>
      <c r="O2">
        <v>29.209955757100001</v>
      </c>
      <c r="P2">
        <v>32.014095648400001</v>
      </c>
      <c r="Q2">
        <v>38.505489291300002</v>
      </c>
      <c r="R2">
        <v>37.969072488599998</v>
      </c>
      <c r="S2" s="2">
        <v>27.0617465208</v>
      </c>
      <c r="T2" s="1">
        <v>20.6915970296</v>
      </c>
      <c r="U2" s="2">
        <v>40.861983268199999</v>
      </c>
      <c r="V2" s="1">
        <v>33.834899805200003</v>
      </c>
      <c r="W2">
        <v>118.03970766400001</v>
      </c>
      <c r="X2">
        <v>33.949216819100002</v>
      </c>
      <c r="Y2">
        <v>35.973112433899999</v>
      </c>
      <c r="Z2">
        <v>96.863898396899998</v>
      </c>
      <c r="AA2">
        <v>31.122595323199999</v>
      </c>
      <c r="AB2">
        <v>36.344020088400001</v>
      </c>
      <c r="AC2">
        <v>25.5053039258</v>
      </c>
      <c r="AD2">
        <v>20.9507637757</v>
      </c>
      <c r="AE2">
        <v>30.885137896</v>
      </c>
      <c r="AF2">
        <v>31.497948513000001</v>
      </c>
      <c r="AG2">
        <v>24.313246893599999</v>
      </c>
      <c r="AH2">
        <v>47.443940568599999</v>
      </c>
      <c r="AI2">
        <v>43.971725787799997</v>
      </c>
      <c r="AJ2">
        <v>78.097454388800003</v>
      </c>
      <c r="AK2">
        <v>18.247906387699999</v>
      </c>
      <c r="AL2">
        <v>35.296993852299998</v>
      </c>
      <c r="AM2">
        <v>61.837318881999998</v>
      </c>
      <c r="AN2">
        <v>65.176269180199995</v>
      </c>
      <c r="AO2">
        <v>49.737955219100002</v>
      </c>
      <c r="AP2">
        <v>20.772249194800001</v>
      </c>
      <c r="AQ2">
        <v>30.818202902100001</v>
      </c>
      <c r="AR2">
        <v>37.553109043600003</v>
      </c>
      <c r="AS2">
        <v>72.391381477799996</v>
      </c>
      <c r="AT2">
        <v>55.4627903636</v>
      </c>
      <c r="AU2">
        <v>27.306802919500001</v>
      </c>
      <c r="AV2">
        <v>43.857719307899998</v>
      </c>
      <c r="AW2">
        <v>48.880982755399998</v>
      </c>
      <c r="AX2">
        <v>41.804336674300004</v>
      </c>
      <c r="AY2">
        <v>19.706338457200001</v>
      </c>
      <c r="AZ2">
        <v>36.970789001</v>
      </c>
      <c r="BA2">
        <v>35.256969810699999</v>
      </c>
      <c r="BB2">
        <v>23.3730001801</v>
      </c>
      <c r="BC2">
        <v>66.207740592700006</v>
      </c>
      <c r="BD2">
        <v>99.8596916292</v>
      </c>
      <c r="BE2">
        <v>51.094115329300003</v>
      </c>
      <c r="BF2">
        <v>29.1290855184</v>
      </c>
      <c r="BG2">
        <v>28.6038774254</v>
      </c>
      <c r="BH2">
        <v>40.707839167000003</v>
      </c>
      <c r="BI2">
        <v>43.710422088599998</v>
      </c>
      <c r="BJ2">
        <v>38.460677146499997</v>
      </c>
      <c r="BK2">
        <v>43.946210504</v>
      </c>
      <c r="BL2">
        <v>27.159511034099999</v>
      </c>
      <c r="BM2">
        <v>28.124590365500001</v>
      </c>
      <c r="BN2">
        <v>33.979357673499997</v>
      </c>
      <c r="BO2">
        <v>33.243166023500002</v>
      </c>
      <c r="BP2">
        <v>29.570241072000002</v>
      </c>
      <c r="BQ2">
        <v>26.5626090435</v>
      </c>
      <c r="BR2">
        <v>30.2067909443</v>
      </c>
      <c r="BS2">
        <v>32.662379287299999</v>
      </c>
      <c r="BT2">
        <v>36.495237440099999</v>
      </c>
      <c r="BU2">
        <v>37.619969835100001</v>
      </c>
      <c r="BV2">
        <v>30.572538017500001</v>
      </c>
      <c r="BW2">
        <v>47.560990246800003</v>
      </c>
      <c r="BX2">
        <v>55.6942652806</v>
      </c>
      <c r="BY2">
        <v>19.7628526839</v>
      </c>
      <c r="BZ2">
        <v>51.0857021092</v>
      </c>
      <c r="CA2">
        <v>39.475990072400002</v>
      </c>
      <c r="CB2">
        <v>66.649783383400006</v>
      </c>
      <c r="CC2">
        <v>24.841780687499998</v>
      </c>
      <c r="CD2">
        <v>32.1721942199</v>
      </c>
      <c r="CE2">
        <v>63.401607617700002</v>
      </c>
      <c r="CF2">
        <v>25.106447443299999</v>
      </c>
      <c r="CG2">
        <v>27.988412714199999</v>
      </c>
      <c r="CH2">
        <v>33.473207437299997</v>
      </c>
      <c r="CI2">
        <v>50.462879132600001</v>
      </c>
      <c r="CJ2">
        <v>38.437739394600001</v>
      </c>
      <c r="CK2">
        <v>30.263539997300001</v>
      </c>
      <c r="CL2">
        <v>32.291182157000001</v>
      </c>
      <c r="CM2">
        <v>57.5902576577</v>
      </c>
      <c r="CN2">
        <v>69.017302612199998</v>
      </c>
      <c r="CO2">
        <v>33.429935469</v>
      </c>
      <c r="CP2">
        <v>45.356988802099998</v>
      </c>
      <c r="CQ2">
        <v>36.699503471299998</v>
      </c>
      <c r="CR2">
        <v>28.224873906199999</v>
      </c>
      <c r="CS2">
        <v>30.635654625600001</v>
      </c>
      <c r="CT2">
        <v>26.7637423406</v>
      </c>
      <c r="CU2">
        <v>60.297398924600003</v>
      </c>
      <c r="CV2">
        <v>77.075934866899999</v>
      </c>
      <c r="CW2">
        <v>44.377894542999996</v>
      </c>
      <c r="CX2">
        <v>84.040916771200003</v>
      </c>
      <c r="CY2">
        <v>23.727044429799999</v>
      </c>
      <c r="CZ2">
        <v>58.237309035999999</v>
      </c>
      <c r="DA2">
        <v>33.458687049600002</v>
      </c>
      <c r="DB2">
        <v>29.939770880699999</v>
      </c>
      <c r="DC2" s="1">
        <v>20.194621482300001</v>
      </c>
      <c r="DD2">
        <v>21.209526872000001</v>
      </c>
      <c r="DE2">
        <v>73.109925887900005</v>
      </c>
      <c r="DF2" s="1">
        <v>34.180671328999999</v>
      </c>
      <c r="DG2" s="2">
        <v>48.171257589600003</v>
      </c>
      <c r="DH2">
        <v>22.667598823300001</v>
      </c>
      <c r="DI2">
        <v>54.690177157800001</v>
      </c>
      <c r="DJ2">
        <v>76.659416477799994</v>
      </c>
      <c r="DK2">
        <v>43.205018454399998</v>
      </c>
      <c r="DL2">
        <v>38.614905460499998</v>
      </c>
      <c r="DM2">
        <v>26.739273293</v>
      </c>
      <c r="DN2">
        <v>37.314522496199999</v>
      </c>
      <c r="DO2">
        <v>20.743229883000001</v>
      </c>
    </row>
    <row r="3" spans="1:119">
      <c r="A3" t="s">
        <v>3</v>
      </c>
      <c r="B3">
        <v>2029</v>
      </c>
      <c r="C3">
        <v>138.15432276600001</v>
      </c>
      <c r="D3">
        <v>44.868560544399998</v>
      </c>
      <c r="E3">
        <v>122.07280002900001</v>
      </c>
      <c r="F3">
        <v>29.2213358226</v>
      </c>
      <c r="G3">
        <v>24.852817624299998</v>
      </c>
      <c r="H3">
        <v>29.948868898299999</v>
      </c>
      <c r="I3">
        <v>26.932104894599998</v>
      </c>
      <c r="J3">
        <v>66.1590269191</v>
      </c>
      <c r="K3">
        <v>101.60748793400001</v>
      </c>
      <c r="L3">
        <v>39.144367200399998</v>
      </c>
      <c r="M3">
        <v>50.1607052524</v>
      </c>
      <c r="N3">
        <v>16.343084253099999</v>
      </c>
      <c r="O3">
        <v>94.505018718700001</v>
      </c>
      <c r="P3">
        <v>36.9969534954</v>
      </c>
      <c r="Q3">
        <v>32.368495932000002</v>
      </c>
      <c r="R3">
        <v>37.9570893032</v>
      </c>
      <c r="S3" s="2">
        <v>53.870745156200002</v>
      </c>
      <c r="T3" s="1">
        <v>68.786892047999999</v>
      </c>
      <c r="U3" s="2">
        <v>20.208472168899998</v>
      </c>
      <c r="V3" s="1">
        <v>27.914138532799999</v>
      </c>
      <c r="W3">
        <v>182.017024077</v>
      </c>
      <c r="X3">
        <v>38.125879622600003</v>
      </c>
      <c r="Y3">
        <v>53.034202949899999</v>
      </c>
      <c r="Z3">
        <v>347.73674621599997</v>
      </c>
      <c r="AA3">
        <v>64.228587084200001</v>
      </c>
      <c r="AB3">
        <v>28.066439534099999</v>
      </c>
      <c r="AC3">
        <v>76.216555585199998</v>
      </c>
      <c r="AD3">
        <v>37.164849706799998</v>
      </c>
      <c r="AE3">
        <v>65.540723613500006</v>
      </c>
      <c r="AF3">
        <v>31.3060733953</v>
      </c>
      <c r="AG3">
        <v>43.513000801700002</v>
      </c>
      <c r="AH3">
        <v>28.054009713300001</v>
      </c>
      <c r="AI3">
        <v>269.973547967</v>
      </c>
      <c r="AJ3">
        <v>320.575848377</v>
      </c>
      <c r="AK3">
        <v>19.0557311737</v>
      </c>
      <c r="AL3">
        <v>23.919739358499999</v>
      </c>
      <c r="AM3">
        <v>90.457214051099996</v>
      </c>
      <c r="AN3">
        <v>172.45924425800001</v>
      </c>
      <c r="AO3">
        <v>158.38729835199999</v>
      </c>
      <c r="AP3">
        <v>16.550540915999999</v>
      </c>
      <c r="AQ3">
        <v>91.344875828100001</v>
      </c>
      <c r="AR3">
        <v>52.712113392799999</v>
      </c>
      <c r="AS3">
        <v>259.40177290399998</v>
      </c>
      <c r="AT3">
        <v>91.157208896399993</v>
      </c>
      <c r="AU3">
        <v>43.677622759499997</v>
      </c>
      <c r="AV3">
        <v>139.68062711600001</v>
      </c>
      <c r="AW3">
        <v>57.773806690299999</v>
      </c>
      <c r="AX3">
        <v>101.38980760600001</v>
      </c>
      <c r="AY3">
        <v>18.523603981000001</v>
      </c>
      <c r="AZ3">
        <v>44.609584557399998</v>
      </c>
      <c r="BA3">
        <v>52.4573404096</v>
      </c>
      <c r="BB3">
        <v>20.150443450400001</v>
      </c>
      <c r="BC3">
        <v>128.727381971</v>
      </c>
      <c r="BD3">
        <v>334.25590156700002</v>
      </c>
      <c r="BE3">
        <v>46.030329191299998</v>
      </c>
      <c r="BF3">
        <v>57.963796866999999</v>
      </c>
      <c r="BG3">
        <v>27.7028159736</v>
      </c>
      <c r="BH3">
        <v>57.002367099399997</v>
      </c>
      <c r="BI3">
        <v>82.741566969000004</v>
      </c>
      <c r="BJ3">
        <v>46.158263507999997</v>
      </c>
      <c r="BK3">
        <v>128.45470209800001</v>
      </c>
      <c r="BL3">
        <v>47.568335766799997</v>
      </c>
      <c r="BM3">
        <v>43.483328224799997</v>
      </c>
      <c r="BN3">
        <v>63.243751535599998</v>
      </c>
      <c r="BO3">
        <v>23.823487877000002</v>
      </c>
      <c r="BP3">
        <v>58.526182588899999</v>
      </c>
      <c r="BQ3">
        <v>17.092350511399999</v>
      </c>
      <c r="BR3">
        <v>64.787937584399998</v>
      </c>
      <c r="BS3">
        <v>33.856407445899997</v>
      </c>
      <c r="BT3">
        <v>81.654864114600002</v>
      </c>
      <c r="BU3">
        <v>113.79467486599999</v>
      </c>
      <c r="BV3">
        <v>28.6623188726</v>
      </c>
      <c r="BW3">
        <v>49.948166802300001</v>
      </c>
      <c r="BX3">
        <v>115.34891373799999</v>
      </c>
      <c r="BY3">
        <v>45.419530796899998</v>
      </c>
      <c r="BZ3">
        <v>67.783721116300001</v>
      </c>
      <c r="CA3">
        <v>30.472178163399999</v>
      </c>
      <c r="CB3">
        <v>142.76899661600001</v>
      </c>
      <c r="CC3">
        <v>34.122294552100001</v>
      </c>
      <c r="CD3">
        <v>45.146798743700003</v>
      </c>
      <c r="CE3">
        <v>115.149741771</v>
      </c>
      <c r="CF3">
        <v>19.698088987799999</v>
      </c>
      <c r="CG3">
        <v>24.176173917100002</v>
      </c>
      <c r="CH3">
        <v>49.867993289499999</v>
      </c>
      <c r="CI3">
        <v>37.185913236600001</v>
      </c>
      <c r="CJ3">
        <v>24.531219839399999</v>
      </c>
      <c r="CK3">
        <v>63.555529236600002</v>
      </c>
      <c r="CL3">
        <v>48.088201421299999</v>
      </c>
      <c r="CM3">
        <v>74.414986041500001</v>
      </c>
      <c r="CN3">
        <v>112.99299054700001</v>
      </c>
      <c r="CO3">
        <v>92.500989171599997</v>
      </c>
      <c r="CP3">
        <v>90.388903635600002</v>
      </c>
      <c r="CQ3">
        <v>77.968363925000006</v>
      </c>
      <c r="CR3">
        <v>54.114373124899998</v>
      </c>
      <c r="CS3">
        <v>70.244659638300007</v>
      </c>
      <c r="CT3">
        <v>24.233550300299999</v>
      </c>
      <c r="CU3">
        <v>56.213329765200001</v>
      </c>
      <c r="CV3">
        <v>94.955357961100006</v>
      </c>
      <c r="CW3">
        <v>69.573780640400003</v>
      </c>
      <c r="CX3">
        <v>149.33187335700001</v>
      </c>
      <c r="CY3">
        <v>33.877699403599998</v>
      </c>
      <c r="CZ3">
        <v>42.925685596999998</v>
      </c>
      <c r="DA3">
        <v>39.589996348500001</v>
      </c>
      <c r="DB3">
        <v>28.2146444117</v>
      </c>
      <c r="DC3" s="1">
        <v>15.634334348199999</v>
      </c>
      <c r="DD3">
        <v>24.532203749299999</v>
      </c>
      <c r="DE3">
        <v>99.434435589100005</v>
      </c>
      <c r="DF3" s="1">
        <v>53.947496442499997</v>
      </c>
      <c r="DG3" s="2">
        <v>40.146698293299998</v>
      </c>
      <c r="DH3">
        <v>31.515501232799998</v>
      </c>
      <c r="DI3">
        <v>55.701032726800001</v>
      </c>
      <c r="DJ3">
        <v>157.92059232700001</v>
      </c>
      <c r="DK3">
        <v>46.332322291200001</v>
      </c>
      <c r="DL3">
        <v>21.490588037799998</v>
      </c>
      <c r="DM3">
        <v>35.153417967499998</v>
      </c>
      <c r="DN3">
        <v>29.632949846999999</v>
      </c>
      <c r="DO3">
        <v>19.015797112600001</v>
      </c>
    </row>
    <row r="4" spans="1:119">
      <c r="A4" t="s">
        <v>3</v>
      </c>
      <c r="B4">
        <v>2037</v>
      </c>
      <c r="C4">
        <v>558.55120556899999</v>
      </c>
      <c r="D4">
        <v>157.998466861</v>
      </c>
      <c r="E4">
        <v>417.99190006700002</v>
      </c>
      <c r="F4">
        <v>28.013503865000001</v>
      </c>
      <c r="G4">
        <v>53.1003690959</v>
      </c>
      <c r="H4">
        <v>57.978772908099998</v>
      </c>
      <c r="I4">
        <v>32.269900873600001</v>
      </c>
      <c r="J4">
        <v>118.26743391799999</v>
      </c>
      <c r="K4">
        <v>427.204237202</v>
      </c>
      <c r="L4">
        <v>58.987616133400003</v>
      </c>
      <c r="M4">
        <v>40.974830641099999</v>
      </c>
      <c r="N4">
        <v>20.8407120846</v>
      </c>
      <c r="O4">
        <v>122.297667545</v>
      </c>
      <c r="P4">
        <v>107.001961372</v>
      </c>
      <c r="Q4">
        <v>28.2990743521</v>
      </c>
      <c r="R4">
        <v>105.23578566400001</v>
      </c>
      <c r="S4" s="2">
        <v>202.70907459</v>
      </c>
      <c r="T4" s="1">
        <v>139.663264645</v>
      </c>
      <c r="U4" s="2">
        <v>60.2600528189</v>
      </c>
      <c r="V4" s="1">
        <v>52.0369535333</v>
      </c>
      <c r="W4">
        <v>492.94986523099999</v>
      </c>
      <c r="X4">
        <v>193.91644913299999</v>
      </c>
      <c r="Y4">
        <v>45.4201709353</v>
      </c>
      <c r="Z4">
        <v>877.10341862799999</v>
      </c>
      <c r="AA4">
        <v>40.298717911499999</v>
      </c>
      <c r="AB4">
        <v>30.243634805799999</v>
      </c>
      <c r="AC4">
        <v>75.514903879399995</v>
      </c>
      <c r="AD4">
        <v>62.481893727100001</v>
      </c>
      <c r="AE4">
        <v>142.21790683200001</v>
      </c>
      <c r="AF4">
        <v>119.44344556</v>
      </c>
      <c r="AG4">
        <v>40.568857298600001</v>
      </c>
      <c r="AH4">
        <v>67.638527520799997</v>
      </c>
      <c r="AI4">
        <v>858.44987993100005</v>
      </c>
      <c r="AJ4">
        <v>740.92133600199998</v>
      </c>
      <c r="AK4">
        <v>34.122091104600003</v>
      </c>
      <c r="AL4">
        <v>27.168547919200002</v>
      </c>
      <c r="AM4">
        <v>68.362973279800002</v>
      </c>
      <c r="AN4">
        <v>167.90395106400001</v>
      </c>
      <c r="AO4">
        <v>275.46210468499999</v>
      </c>
      <c r="AP4">
        <v>17.457109984199999</v>
      </c>
      <c r="AQ4">
        <v>141.33907221699999</v>
      </c>
      <c r="AR4">
        <v>69.605462298999996</v>
      </c>
      <c r="AS4">
        <v>1100.49959481</v>
      </c>
      <c r="AT4">
        <v>110.29912189700001</v>
      </c>
      <c r="AU4">
        <v>48.962797119599998</v>
      </c>
      <c r="AV4">
        <v>360.412194296</v>
      </c>
      <c r="AW4">
        <v>181.84839246999999</v>
      </c>
      <c r="AX4">
        <v>311.11696571700003</v>
      </c>
      <c r="AY4">
        <v>22.615797887799999</v>
      </c>
      <c r="AZ4">
        <v>129.90941462699999</v>
      </c>
      <c r="BA4">
        <v>79.754730986300004</v>
      </c>
      <c r="BB4">
        <v>29.711800011400001</v>
      </c>
      <c r="BC4">
        <v>574.16038979999996</v>
      </c>
      <c r="BD4">
        <v>697.74241601699998</v>
      </c>
      <c r="BE4">
        <v>43.130805109100002</v>
      </c>
      <c r="BF4">
        <v>302.30865186900002</v>
      </c>
      <c r="BG4">
        <v>36.840035184500003</v>
      </c>
      <c r="BH4">
        <v>103.51697655300001</v>
      </c>
      <c r="BI4">
        <v>115.66284578299999</v>
      </c>
      <c r="BJ4">
        <v>71.293548077099999</v>
      </c>
      <c r="BK4">
        <v>265.838349806</v>
      </c>
      <c r="BL4">
        <v>56.590714529899998</v>
      </c>
      <c r="BM4">
        <v>42.2564977838</v>
      </c>
      <c r="BN4">
        <v>65.440873206500001</v>
      </c>
      <c r="BO4">
        <v>14.4510478307</v>
      </c>
      <c r="BP4">
        <v>85.392150546500005</v>
      </c>
      <c r="BQ4">
        <v>18.2599481494</v>
      </c>
      <c r="BR4">
        <v>266.34742326499997</v>
      </c>
      <c r="BS4">
        <v>161.339387268</v>
      </c>
      <c r="BT4">
        <v>409.78189102099998</v>
      </c>
      <c r="BU4">
        <v>333.234129548</v>
      </c>
      <c r="BV4">
        <v>45.175541592899997</v>
      </c>
      <c r="BW4">
        <v>113.237028295</v>
      </c>
      <c r="BX4">
        <v>152.60391495799999</v>
      </c>
      <c r="BY4">
        <v>68.036231510600004</v>
      </c>
      <c r="BZ4">
        <v>114.334456453</v>
      </c>
      <c r="CA4">
        <v>26.9777989498</v>
      </c>
      <c r="CB4">
        <v>195.703635969</v>
      </c>
      <c r="CC4">
        <v>79.879661169599999</v>
      </c>
      <c r="CD4">
        <v>79.354404329499999</v>
      </c>
      <c r="CE4">
        <v>495.220179008</v>
      </c>
      <c r="CF4">
        <v>40.889107945299997</v>
      </c>
      <c r="CG4">
        <v>16.865262365700001</v>
      </c>
      <c r="CH4">
        <v>246.488853705</v>
      </c>
      <c r="CI4">
        <v>52.226538488499997</v>
      </c>
      <c r="CJ4">
        <v>25.901447162499998</v>
      </c>
      <c r="CK4">
        <v>189.00171520200001</v>
      </c>
      <c r="CL4">
        <v>45.800240414699999</v>
      </c>
      <c r="CM4">
        <v>161.793012565</v>
      </c>
      <c r="CN4">
        <v>330.47626459000003</v>
      </c>
      <c r="CO4">
        <v>91.828018740600001</v>
      </c>
      <c r="CP4">
        <v>181.94313828200001</v>
      </c>
      <c r="CQ4">
        <v>156.58128686699999</v>
      </c>
      <c r="CR4">
        <v>74.298288569899995</v>
      </c>
      <c r="CS4">
        <v>225.44578990299999</v>
      </c>
      <c r="CT4">
        <v>34.879736013799999</v>
      </c>
      <c r="CU4">
        <v>110.284675424</v>
      </c>
      <c r="CV4">
        <v>108.065826227</v>
      </c>
      <c r="CW4">
        <v>141.30713318900001</v>
      </c>
      <c r="CX4">
        <v>114.507949677</v>
      </c>
      <c r="CY4">
        <v>115.22028423</v>
      </c>
      <c r="CZ4">
        <v>80.994959259300003</v>
      </c>
      <c r="DA4">
        <v>96.0034947985</v>
      </c>
      <c r="DB4">
        <v>35.107457247900001</v>
      </c>
      <c r="DC4" s="1">
        <v>13.671494001899999</v>
      </c>
      <c r="DD4">
        <v>37.669070865400002</v>
      </c>
      <c r="DE4">
        <v>166.480722415</v>
      </c>
      <c r="DF4" s="1">
        <v>450.98980594</v>
      </c>
      <c r="DG4" s="2">
        <v>32.417485577199997</v>
      </c>
      <c r="DH4">
        <v>77.762862369600001</v>
      </c>
      <c r="DI4">
        <v>253.07523855900001</v>
      </c>
      <c r="DJ4">
        <v>349.832246129</v>
      </c>
      <c r="DK4">
        <v>86.192860386800007</v>
      </c>
      <c r="DL4">
        <v>24.820861807699998</v>
      </c>
      <c r="DM4">
        <v>54.322206969299998</v>
      </c>
      <c r="DN4">
        <v>15.116603184300001</v>
      </c>
      <c r="DO4">
        <v>19.539906640200002</v>
      </c>
    </row>
    <row r="5" spans="1:119">
      <c r="A5" t="s">
        <v>3</v>
      </c>
      <c r="B5">
        <v>2045</v>
      </c>
      <c r="C5">
        <v>1083.00841915</v>
      </c>
      <c r="D5">
        <v>360.13414308500001</v>
      </c>
      <c r="E5">
        <v>379.96430202099998</v>
      </c>
      <c r="F5">
        <v>104.581002063</v>
      </c>
      <c r="G5">
        <v>133.088530706</v>
      </c>
      <c r="H5">
        <v>35.420143150299999</v>
      </c>
      <c r="I5">
        <v>130.77858850800001</v>
      </c>
      <c r="J5">
        <v>220.96397267</v>
      </c>
      <c r="K5">
        <v>442.46047991699999</v>
      </c>
      <c r="L5">
        <v>62.654255237299999</v>
      </c>
      <c r="M5">
        <v>35.363385142600002</v>
      </c>
      <c r="N5">
        <v>36.608595821199998</v>
      </c>
      <c r="O5">
        <v>121.683982235</v>
      </c>
      <c r="P5">
        <v>192.91430249800001</v>
      </c>
      <c r="Q5">
        <v>52.048720615000001</v>
      </c>
      <c r="R5">
        <v>90.582192884600005</v>
      </c>
      <c r="S5" s="2">
        <v>384.17922359900001</v>
      </c>
      <c r="T5" s="1">
        <v>702.21119148900004</v>
      </c>
      <c r="U5" s="2">
        <v>94.436384512700002</v>
      </c>
      <c r="V5" s="1">
        <v>177.152135711</v>
      </c>
      <c r="W5">
        <v>258.22141020999999</v>
      </c>
      <c r="X5">
        <v>400.56594810899998</v>
      </c>
      <c r="Y5">
        <v>73.397819605999999</v>
      </c>
      <c r="Z5">
        <v>2051.3545903600002</v>
      </c>
      <c r="AA5">
        <v>32.140088443499998</v>
      </c>
      <c r="AB5">
        <v>59.935238770200002</v>
      </c>
      <c r="AC5">
        <v>91.718523121199993</v>
      </c>
      <c r="AD5">
        <v>89.332996335199994</v>
      </c>
      <c r="AE5">
        <v>239.32549759099999</v>
      </c>
      <c r="AF5">
        <v>78.467557131299998</v>
      </c>
      <c r="AG5">
        <v>56.371094726400003</v>
      </c>
      <c r="AH5">
        <v>23.858722909299999</v>
      </c>
      <c r="AI5">
        <v>3552.47926495</v>
      </c>
      <c r="AJ5">
        <v>1916.21158745</v>
      </c>
      <c r="AK5">
        <v>99.603001694499994</v>
      </c>
      <c r="AL5">
        <v>66.249768855400006</v>
      </c>
      <c r="AM5">
        <v>200.725135803</v>
      </c>
      <c r="AN5">
        <v>172.776201945</v>
      </c>
      <c r="AO5">
        <v>363.45336729399997</v>
      </c>
      <c r="AP5">
        <v>24.7892326654</v>
      </c>
      <c r="AQ5">
        <v>408.25190112199999</v>
      </c>
      <c r="AR5">
        <v>128.872011875</v>
      </c>
      <c r="AS5">
        <v>3646.40047035</v>
      </c>
      <c r="AT5">
        <v>108.467417582</v>
      </c>
      <c r="AU5">
        <v>62.716610888799998</v>
      </c>
      <c r="AV5">
        <v>973.88431291400002</v>
      </c>
      <c r="AW5">
        <v>255.36041728500001</v>
      </c>
      <c r="AX5">
        <v>325.256466063</v>
      </c>
      <c r="AY5">
        <v>26.0522932457</v>
      </c>
      <c r="AZ5">
        <v>100.21614592500001</v>
      </c>
      <c r="BA5">
        <v>142.064062616</v>
      </c>
      <c r="BB5">
        <v>80.093558163300003</v>
      </c>
      <c r="BC5">
        <v>858.14705895400004</v>
      </c>
      <c r="BD5">
        <v>375.52590459999999</v>
      </c>
      <c r="BE5">
        <v>78.558045719199995</v>
      </c>
      <c r="BF5">
        <v>844.50837909699999</v>
      </c>
      <c r="BG5">
        <v>47.746014560699997</v>
      </c>
      <c r="BH5">
        <v>167.98560629799999</v>
      </c>
      <c r="BI5">
        <v>177.799708641</v>
      </c>
      <c r="BJ5">
        <v>239.68799446400001</v>
      </c>
      <c r="BK5">
        <v>463.66606825700001</v>
      </c>
      <c r="BL5">
        <v>93.231509079700004</v>
      </c>
      <c r="BM5">
        <v>117.50874238</v>
      </c>
      <c r="BN5">
        <v>140.409311874</v>
      </c>
      <c r="BO5">
        <v>29.403007883600001</v>
      </c>
      <c r="BP5">
        <v>354.68940331300001</v>
      </c>
      <c r="BQ5">
        <v>27.0163030513</v>
      </c>
      <c r="BR5">
        <v>805.30538592799996</v>
      </c>
      <c r="BS5">
        <v>175.51116493699999</v>
      </c>
      <c r="BT5">
        <v>538.20565055300005</v>
      </c>
      <c r="BU5">
        <v>804.18953752000004</v>
      </c>
      <c r="BV5">
        <v>83.394026186000005</v>
      </c>
      <c r="BW5">
        <v>259.35414584900002</v>
      </c>
      <c r="BX5">
        <v>427.41498281100002</v>
      </c>
      <c r="BY5">
        <v>135.72744321900001</v>
      </c>
      <c r="BZ5">
        <v>77.727652884099996</v>
      </c>
      <c r="CA5">
        <v>41.071753879399999</v>
      </c>
      <c r="CB5">
        <v>433.19818144200002</v>
      </c>
      <c r="CC5">
        <v>494.88256662999999</v>
      </c>
      <c r="CD5">
        <v>413.662370571</v>
      </c>
      <c r="CE5">
        <v>1281.0685428300001</v>
      </c>
      <c r="CF5">
        <v>79.509054381499993</v>
      </c>
      <c r="CG5">
        <v>18.871861727100001</v>
      </c>
      <c r="CH5">
        <v>487.09654598999998</v>
      </c>
      <c r="CI5">
        <v>100.450023508</v>
      </c>
      <c r="CJ5">
        <v>18.7009674056</v>
      </c>
      <c r="CK5">
        <v>280.18303439300001</v>
      </c>
      <c r="CL5">
        <v>28.5814560259</v>
      </c>
      <c r="CM5">
        <v>257.53891279099997</v>
      </c>
      <c r="CN5">
        <v>571.160440988</v>
      </c>
      <c r="CO5">
        <v>202.241952846</v>
      </c>
      <c r="CP5">
        <v>456.22062407099997</v>
      </c>
      <c r="CQ5">
        <v>136.95812237600001</v>
      </c>
      <c r="CR5">
        <v>256.06189563800001</v>
      </c>
      <c r="CS5">
        <v>285.43360957099998</v>
      </c>
      <c r="CT5">
        <v>73.677194071100004</v>
      </c>
      <c r="CU5">
        <v>100.64016746999999</v>
      </c>
      <c r="CV5">
        <v>58.861353427499999</v>
      </c>
      <c r="CW5">
        <v>152.891615414</v>
      </c>
      <c r="CX5">
        <v>150.77056075600001</v>
      </c>
      <c r="CY5">
        <v>156.18300622800001</v>
      </c>
      <c r="CZ5">
        <v>201.64552752500001</v>
      </c>
      <c r="DA5">
        <v>198.622338361</v>
      </c>
      <c r="DB5">
        <v>28.913176227299999</v>
      </c>
      <c r="DC5" s="1">
        <v>18.6260188157</v>
      </c>
      <c r="DD5">
        <v>62.829349106899997</v>
      </c>
      <c r="DE5">
        <v>263.089272494</v>
      </c>
      <c r="DF5" s="1">
        <v>265.95291645600003</v>
      </c>
      <c r="DG5" s="2">
        <v>51.161320494199998</v>
      </c>
      <c r="DH5">
        <v>202.63724220700001</v>
      </c>
      <c r="DI5">
        <v>304.97072543500002</v>
      </c>
      <c r="DJ5">
        <v>921.26558966300001</v>
      </c>
      <c r="DK5">
        <v>72.376558470000006</v>
      </c>
      <c r="DL5">
        <v>48.780207755399999</v>
      </c>
      <c r="DM5">
        <v>51.993284336099997</v>
      </c>
      <c r="DN5">
        <v>33.486088541500003</v>
      </c>
      <c r="DO5">
        <v>20.234857216200002</v>
      </c>
    </row>
    <row r="6" spans="1:119">
      <c r="A6" t="s">
        <v>4</v>
      </c>
      <c r="B6">
        <v>2021</v>
      </c>
      <c r="C6">
        <v>2.8482443750000002</v>
      </c>
      <c r="D6">
        <v>2.8482443750000002</v>
      </c>
      <c r="E6">
        <v>2.8482443750000002</v>
      </c>
      <c r="F6">
        <v>2.8482443750000002</v>
      </c>
      <c r="G6">
        <v>2.8482443750000002</v>
      </c>
      <c r="H6">
        <v>2.8482443750000002</v>
      </c>
      <c r="I6">
        <v>2.8482443750000002</v>
      </c>
      <c r="J6">
        <v>2.8482443750000002</v>
      </c>
      <c r="K6">
        <v>2.8482443750000002</v>
      </c>
      <c r="L6">
        <v>2.8482443750000002</v>
      </c>
      <c r="M6">
        <v>2.8482443750000002</v>
      </c>
      <c r="N6">
        <v>2.8482443750000002</v>
      </c>
      <c r="O6">
        <v>2.8482443750000002</v>
      </c>
      <c r="P6">
        <v>2.8482443750000002</v>
      </c>
      <c r="Q6">
        <v>2.8482443750000002</v>
      </c>
      <c r="R6">
        <v>2.8482443750000002</v>
      </c>
      <c r="S6" s="2">
        <v>2.8482443750000002</v>
      </c>
      <c r="T6" s="1">
        <v>2.8482443750000002</v>
      </c>
      <c r="U6" s="2">
        <v>2.8482443750000002</v>
      </c>
      <c r="V6" s="1">
        <v>2.8482443750000002</v>
      </c>
      <c r="W6">
        <v>2.8482443750000002</v>
      </c>
      <c r="X6">
        <v>2.8482443750000002</v>
      </c>
      <c r="Y6">
        <v>2.8482443750000002</v>
      </c>
      <c r="Z6">
        <v>2.8482443750000002</v>
      </c>
      <c r="AA6">
        <v>2.8482443750000002</v>
      </c>
      <c r="AB6">
        <v>2.8482443750000002</v>
      </c>
      <c r="AC6">
        <v>2.8482443750000002</v>
      </c>
      <c r="AD6">
        <v>2.8482443750000002</v>
      </c>
      <c r="AE6">
        <v>2.8482443750000002</v>
      </c>
      <c r="AF6">
        <v>2.8482443750000002</v>
      </c>
      <c r="AG6">
        <v>2.8482443750000002</v>
      </c>
      <c r="AH6">
        <v>2.8482443750000002</v>
      </c>
      <c r="AI6">
        <v>2.8482443750000002</v>
      </c>
      <c r="AJ6">
        <v>2.8482443750000002</v>
      </c>
      <c r="AK6">
        <v>2.8482443750000002</v>
      </c>
      <c r="AL6">
        <v>2.8482443750000002</v>
      </c>
      <c r="AM6">
        <v>2.8482443750000002</v>
      </c>
      <c r="AN6">
        <v>2.8482443750000002</v>
      </c>
      <c r="AO6">
        <v>2.8482443750000002</v>
      </c>
      <c r="AP6">
        <v>2.8482443750000002</v>
      </c>
      <c r="AQ6">
        <v>2.8482443750000002</v>
      </c>
      <c r="AR6">
        <v>2.8482443750000002</v>
      </c>
      <c r="AS6">
        <v>2.8482443750000002</v>
      </c>
      <c r="AT6">
        <v>2.8482443750000002</v>
      </c>
      <c r="AU6">
        <v>2.8482443750000002</v>
      </c>
      <c r="AV6">
        <v>2.8482443750000002</v>
      </c>
      <c r="AW6">
        <v>2.8482443750000002</v>
      </c>
      <c r="AX6">
        <v>2.8482443750000002</v>
      </c>
      <c r="AY6">
        <v>2.8482443750000002</v>
      </c>
      <c r="AZ6">
        <v>2.8482443750000002</v>
      </c>
      <c r="BA6">
        <v>2.8482443750000002</v>
      </c>
      <c r="BB6">
        <v>2.8482443750000002</v>
      </c>
      <c r="BC6">
        <v>2.8482443750000002</v>
      </c>
      <c r="BD6">
        <v>2.8482443750000002</v>
      </c>
      <c r="BE6">
        <v>2.8482443750000002</v>
      </c>
      <c r="BF6">
        <v>2.8482443750000002</v>
      </c>
      <c r="BG6">
        <v>2.8482443750000002</v>
      </c>
      <c r="BH6">
        <v>2.8482443750000002</v>
      </c>
      <c r="BI6">
        <v>2.8482443750000002</v>
      </c>
      <c r="BJ6">
        <v>2.8482443750000002</v>
      </c>
      <c r="BK6">
        <v>2.8482443750000002</v>
      </c>
      <c r="BL6">
        <v>2.8482443750000002</v>
      </c>
      <c r="BM6">
        <v>2.8482443750000002</v>
      </c>
      <c r="BN6">
        <v>2.8482443750000002</v>
      </c>
      <c r="BO6">
        <v>2.8482443750000002</v>
      </c>
      <c r="BP6">
        <v>2.8482443750000002</v>
      </c>
      <c r="BQ6">
        <v>2.8482443750000002</v>
      </c>
      <c r="BR6">
        <v>2.8482443750000002</v>
      </c>
      <c r="BS6">
        <v>2.8482443750000002</v>
      </c>
      <c r="BT6">
        <v>2.8482443750000002</v>
      </c>
      <c r="BU6">
        <v>2.8482443750000002</v>
      </c>
      <c r="BV6">
        <v>2.8482443750000002</v>
      </c>
      <c r="BW6">
        <v>2.8482443750000002</v>
      </c>
      <c r="BX6">
        <v>2.8482443750000002</v>
      </c>
      <c r="BY6">
        <v>2.8482443750000002</v>
      </c>
      <c r="BZ6">
        <v>2.8482443750000002</v>
      </c>
      <c r="CA6">
        <v>2.8482443750000002</v>
      </c>
      <c r="CB6">
        <v>2.8482443750000002</v>
      </c>
      <c r="CC6">
        <v>2.8482443750000002</v>
      </c>
      <c r="CD6">
        <v>2.8482443750000002</v>
      </c>
      <c r="CE6">
        <v>2.8482443750000002</v>
      </c>
      <c r="CF6">
        <v>2.8482443750000002</v>
      </c>
      <c r="CG6">
        <v>2.8482443750000002</v>
      </c>
      <c r="CH6">
        <v>2.8482443750000002</v>
      </c>
      <c r="CI6">
        <v>2.8482443750000002</v>
      </c>
      <c r="CJ6">
        <v>2.8482443750000002</v>
      </c>
      <c r="CK6">
        <v>2.8482443750000002</v>
      </c>
      <c r="CL6">
        <v>2.8482443750000002</v>
      </c>
      <c r="CM6">
        <v>2.8482443750000002</v>
      </c>
      <c r="CN6">
        <v>2.8482443750000002</v>
      </c>
      <c r="CO6">
        <v>2.8482443750000002</v>
      </c>
      <c r="CP6">
        <v>2.8482443750000002</v>
      </c>
      <c r="CQ6">
        <v>2.8482443750000002</v>
      </c>
      <c r="CR6">
        <v>2.8482443750000002</v>
      </c>
      <c r="CS6">
        <v>2.8482443750000002</v>
      </c>
      <c r="CT6">
        <v>2.8482443750000002</v>
      </c>
      <c r="CU6">
        <v>2.8482443750000002</v>
      </c>
      <c r="CV6">
        <v>2.8482443750000002</v>
      </c>
      <c r="CW6">
        <v>2.8482443750000002</v>
      </c>
      <c r="CX6">
        <v>2.8482443750000002</v>
      </c>
      <c r="CY6">
        <v>2.8482443750000002</v>
      </c>
      <c r="CZ6">
        <v>2.8482443750000002</v>
      </c>
      <c r="DA6">
        <v>2.8482443750000002</v>
      </c>
      <c r="DB6">
        <v>2.8482443750000002</v>
      </c>
      <c r="DC6" s="1">
        <v>2.8482443750000002</v>
      </c>
      <c r="DD6">
        <v>2.8482443750000002</v>
      </c>
      <c r="DE6">
        <v>2.8482443750000002</v>
      </c>
      <c r="DF6" s="1">
        <v>2.8482443750000002</v>
      </c>
      <c r="DG6" s="2">
        <v>2.8482443750000002</v>
      </c>
      <c r="DH6">
        <v>2.8482443750000002</v>
      </c>
      <c r="DI6">
        <v>2.8482443750000002</v>
      </c>
      <c r="DJ6">
        <v>2.8482443750000002</v>
      </c>
      <c r="DK6">
        <v>2.8482443750000002</v>
      </c>
      <c r="DL6">
        <v>2.8482443750000002</v>
      </c>
      <c r="DM6">
        <v>2.8482443750000002</v>
      </c>
      <c r="DN6">
        <v>2.8482443750000002</v>
      </c>
      <c r="DO6">
        <v>2.8482443750000002</v>
      </c>
    </row>
    <row r="7" spans="1:119">
      <c r="A7" t="s">
        <v>4</v>
      </c>
      <c r="B7">
        <v>2029</v>
      </c>
      <c r="C7">
        <v>3.0898881249999999</v>
      </c>
      <c r="D7">
        <v>3.0898881249999999</v>
      </c>
      <c r="E7">
        <v>3.0898881249999999</v>
      </c>
      <c r="F7">
        <v>3.0898881249999999</v>
      </c>
      <c r="G7">
        <v>3.0898881249999999</v>
      </c>
      <c r="H7">
        <v>3.0898881249999999</v>
      </c>
      <c r="I7">
        <v>3.0898881249999999</v>
      </c>
      <c r="J7">
        <v>3.0898881249999999</v>
      </c>
      <c r="K7">
        <v>3.0898881249999999</v>
      </c>
      <c r="L7">
        <v>3.0898881249999999</v>
      </c>
      <c r="M7">
        <v>3.0898881249999999</v>
      </c>
      <c r="N7">
        <v>3.0898881249999999</v>
      </c>
      <c r="O7">
        <v>3.0898881249999999</v>
      </c>
      <c r="P7">
        <v>3.0898881249999999</v>
      </c>
      <c r="Q7">
        <v>3.0898881249999999</v>
      </c>
      <c r="R7">
        <v>3.0898881249999999</v>
      </c>
      <c r="S7" s="2">
        <v>3.0898881249999999</v>
      </c>
      <c r="T7" s="1">
        <v>3.0898881249999999</v>
      </c>
      <c r="U7" s="2">
        <v>3.0898881249999999</v>
      </c>
      <c r="V7" s="1">
        <v>3.0898881249999999</v>
      </c>
      <c r="W7">
        <v>3.0898881249999999</v>
      </c>
      <c r="X7">
        <v>3.0898881249999999</v>
      </c>
      <c r="Y7">
        <v>3.0898881249999999</v>
      </c>
      <c r="Z7">
        <v>3.0898881249999999</v>
      </c>
      <c r="AA7">
        <v>3.0898881249999999</v>
      </c>
      <c r="AB7">
        <v>3.0898881249999999</v>
      </c>
      <c r="AC7">
        <v>3.0898881249999999</v>
      </c>
      <c r="AD7">
        <v>3.0898881249999999</v>
      </c>
      <c r="AE7">
        <v>3.0898881249999999</v>
      </c>
      <c r="AF7">
        <v>3.0898881249999999</v>
      </c>
      <c r="AG7">
        <v>3.0898881249999999</v>
      </c>
      <c r="AH7">
        <v>3.0898881249999999</v>
      </c>
      <c r="AI7">
        <v>3.0898881249999999</v>
      </c>
      <c r="AJ7">
        <v>3.0898881249999999</v>
      </c>
      <c r="AK7">
        <v>3.0898881249999999</v>
      </c>
      <c r="AL7">
        <v>3.0898881249999999</v>
      </c>
      <c r="AM7">
        <v>3.0898881249999999</v>
      </c>
      <c r="AN7">
        <v>3.0898881249999999</v>
      </c>
      <c r="AO7">
        <v>3.0898881249999999</v>
      </c>
      <c r="AP7">
        <v>3.0898881249999999</v>
      </c>
      <c r="AQ7">
        <v>3.0898881249999999</v>
      </c>
      <c r="AR7">
        <v>3.0898881249999999</v>
      </c>
      <c r="AS7">
        <v>3.0898881249999999</v>
      </c>
      <c r="AT7">
        <v>3.0898881249999999</v>
      </c>
      <c r="AU7">
        <v>3.0898881249999999</v>
      </c>
      <c r="AV7">
        <v>3.0898881249999999</v>
      </c>
      <c r="AW7">
        <v>3.0898881249999999</v>
      </c>
      <c r="AX7">
        <v>3.0898881249999999</v>
      </c>
      <c r="AY7">
        <v>3.0898881249999999</v>
      </c>
      <c r="AZ7">
        <v>3.0898881249999999</v>
      </c>
      <c r="BA7">
        <v>3.0898881249999999</v>
      </c>
      <c r="BB7">
        <v>3.0898881249999999</v>
      </c>
      <c r="BC7">
        <v>3.0898881249999999</v>
      </c>
      <c r="BD7">
        <v>3.0898881249999999</v>
      </c>
      <c r="BE7">
        <v>3.0898881249999999</v>
      </c>
      <c r="BF7">
        <v>3.0898881249999999</v>
      </c>
      <c r="BG7">
        <v>3.0898881249999999</v>
      </c>
      <c r="BH7">
        <v>3.0898881249999999</v>
      </c>
      <c r="BI7">
        <v>3.0898881249999999</v>
      </c>
      <c r="BJ7">
        <v>3.0898881249999999</v>
      </c>
      <c r="BK7">
        <v>3.0898881249999999</v>
      </c>
      <c r="BL7">
        <v>3.0898881249999999</v>
      </c>
      <c r="BM7">
        <v>3.0898881249999999</v>
      </c>
      <c r="BN7">
        <v>3.0898881249999999</v>
      </c>
      <c r="BO7">
        <v>3.0898881249999999</v>
      </c>
      <c r="BP7">
        <v>3.0898881249999999</v>
      </c>
      <c r="BQ7">
        <v>3.0898881249999999</v>
      </c>
      <c r="BR7">
        <v>3.0898881249999999</v>
      </c>
      <c r="BS7">
        <v>3.0898881249999999</v>
      </c>
      <c r="BT7">
        <v>3.0898881249999999</v>
      </c>
      <c r="BU7">
        <v>3.0898881249999999</v>
      </c>
      <c r="BV7">
        <v>3.0898881249999999</v>
      </c>
      <c r="BW7">
        <v>3.0898881249999999</v>
      </c>
      <c r="BX7">
        <v>3.0898881249999999</v>
      </c>
      <c r="BY7">
        <v>3.0898881249999999</v>
      </c>
      <c r="BZ7">
        <v>3.0898881249999999</v>
      </c>
      <c r="CA7">
        <v>3.0898881249999999</v>
      </c>
      <c r="CB7">
        <v>3.0898881249999999</v>
      </c>
      <c r="CC7">
        <v>3.0898881249999999</v>
      </c>
      <c r="CD7">
        <v>3.0898881249999999</v>
      </c>
      <c r="CE7">
        <v>3.0898881249999999</v>
      </c>
      <c r="CF7">
        <v>3.0898881249999999</v>
      </c>
      <c r="CG7">
        <v>3.0898881249999999</v>
      </c>
      <c r="CH7">
        <v>3.0898881249999999</v>
      </c>
      <c r="CI7">
        <v>3.0898881249999999</v>
      </c>
      <c r="CJ7">
        <v>3.0898881249999999</v>
      </c>
      <c r="CK7">
        <v>3.0898881249999999</v>
      </c>
      <c r="CL7">
        <v>3.0898881249999999</v>
      </c>
      <c r="CM7">
        <v>3.0898881249999999</v>
      </c>
      <c r="CN7">
        <v>3.0898881249999999</v>
      </c>
      <c r="CO7">
        <v>3.0898881249999999</v>
      </c>
      <c r="CP7">
        <v>3.0898881249999999</v>
      </c>
      <c r="CQ7">
        <v>3.0898881249999999</v>
      </c>
      <c r="CR7">
        <v>3.0898881249999999</v>
      </c>
      <c r="CS7">
        <v>3.0898881249999999</v>
      </c>
      <c r="CT7">
        <v>3.0898881249999999</v>
      </c>
      <c r="CU7">
        <v>3.0898881249999999</v>
      </c>
      <c r="CV7">
        <v>3.0898881249999999</v>
      </c>
      <c r="CW7">
        <v>3.0898881249999999</v>
      </c>
      <c r="CX7">
        <v>3.0898881249999999</v>
      </c>
      <c r="CY7">
        <v>3.0898881249999999</v>
      </c>
      <c r="CZ7">
        <v>3.0898881249999999</v>
      </c>
      <c r="DA7">
        <v>3.0898881249999999</v>
      </c>
      <c r="DB7">
        <v>3.0898881249999999</v>
      </c>
      <c r="DC7" s="1">
        <v>3.0898881249999999</v>
      </c>
      <c r="DD7">
        <v>3.0898881249999999</v>
      </c>
      <c r="DE7">
        <v>3.0898881249999999</v>
      </c>
      <c r="DF7" s="1">
        <v>3.0898881249999999</v>
      </c>
      <c r="DG7" s="2">
        <v>3.0898881249999999</v>
      </c>
      <c r="DH7">
        <v>3.0898881249999999</v>
      </c>
      <c r="DI7">
        <v>3.0898881249999999</v>
      </c>
      <c r="DJ7">
        <v>3.0898881249999999</v>
      </c>
      <c r="DK7">
        <v>3.0898881249999999</v>
      </c>
      <c r="DL7">
        <v>3.0898881249999999</v>
      </c>
      <c r="DM7">
        <v>3.0898881249999999</v>
      </c>
      <c r="DN7">
        <v>3.0898881249999999</v>
      </c>
      <c r="DO7">
        <v>3.0898881249999999</v>
      </c>
    </row>
    <row r="8" spans="1:119">
      <c r="A8" t="s">
        <v>4</v>
      </c>
      <c r="B8">
        <v>2037</v>
      </c>
      <c r="C8">
        <v>3.2895068749999998</v>
      </c>
      <c r="D8">
        <v>3.2895068749999998</v>
      </c>
      <c r="E8">
        <v>3.2895068749999998</v>
      </c>
      <c r="F8">
        <v>3.2895068749999998</v>
      </c>
      <c r="G8">
        <v>3.2895068749999998</v>
      </c>
      <c r="H8">
        <v>3.2895068749999998</v>
      </c>
      <c r="I8">
        <v>3.2895068749999998</v>
      </c>
      <c r="J8">
        <v>3.2895068749999998</v>
      </c>
      <c r="K8">
        <v>3.2895068749999998</v>
      </c>
      <c r="L8">
        <v>3.2895068749999998</v>
      </c>
      <c r="M8">
        <v>3.2895068749999998</v>
      </c>
      <c r="N8">
        <v>3.2895068749999998</v>
      </c>
      <c r="O8">
        <v>3.2895068749999998</v>
      </c>
      <c r="P8">
        <v>3.2895068749999998</v>
      </c>
      <c r="Q8">
        <v>3.2895068749999998</v>
      </c>
      <c r="R8">
        <v>3.2895068749999998</v>
      </c>
      <c r="S8" s="2">
        <v>3.2895068749999998</v>
      </c>
      <c r="T8" s="1">
        <v>3.2895068749999998</v>
      </c>
      <c r="U8" s="2">
        <v>3.2895068749999998</v>
      </c>
      <c r="V8" s="1">
        <v>3.2895068749999998</v>
      </c>
      <c r="W8">
        <v>3.2895068749999998</v>
      </c>
      <c r="X8">
        <v>3.2895068749999998</v>
      </c>
      <c r="Y8">
        <v>3.2895068749999998</v>
      </c>
      <c r="Z8">
        <v>3.2895068749999998</v>
      </c>
      <c r="AA8">
        <v>3.2895068749999998</v>
      </c>
      <c r="AB8">
        <v>3.2895068749999998</v>
      </c>
      <c r="AC8">
        <v>3.2895068749999998</v>
      </c>
      <c r="AD8">
        <v>3.2895068749999998</v>
      </c>
      <c r="AE8">
        <v>3.2895068749999998</v>
      </c>
      <c r="AF8">
        <v>3.2895068749999998</v>
      </c>
      <c r="AG8">
        <v>3.2895068749999998</v>
      </c>
      <c r="AH8">
        <v>3.2895068749999998</v>
      </c>
      <c r="AI8">
        <v>3.2895068749999998</v>
      </c>
      <c r="AJ8">
        <v>3.2895068749999998</v>
      </c>
      <c r="AK8">
        <v>3.2895068749999998</v>
      </c>
      <c r="AL8">
        <v>3.2895068749999998</v>
      </c>
      <c r="AM8">
        <v>3.2895068749999998</v>
      </c>
      <c r="AN8">
        <v>3.2895068749999998</v>
      </c>
      <c r="AO8">
        <v>3.2895068749999998</v>
      </c>
      <c r="AP8">
        <v>3.2895068749999998</v>
      </c>
      <c r="AQ8">
        <v>3.2895068749999998</v>
      </c>
      <c r="AR8">
        <v>3.2895068749999998</v>
      </c>
      <c r="AS8">
        <v>3.2895068749999998</v>
      </c>
      <c r="AT8">
        <v>3.2895068749999998</v>
      </c>
      <c r="AU8">
        <v>3.2895068749999998</v>
      </c>
      <c r="AV8">
        <v>3.2895068749999998</v>
      </c>
      <c r="AW8">
        <v>3.2895068749999998</v>
      </c>
      <c r="AX8">
        <v>3.2895068749999998</v>
      </c>
      <c r="AY8">
        <v>3.2895068749999998</v>
      </c>
      <c r="AZ8">
        <v>3.2895068749999998</v>
      </c>
      <c r="BA8">
        <v>3.2895068749999998</v>
      </c>
      <c r="BB8">
        <v>3.2895068749999998</v>
      </c>
      <c r="BC8">
        <v>3.2895068749999998</v>
      </c>
      <c r="BD8">
        <v>3.2895068749999998</v>
      </c>
      <c r="BE8">
        <v>3.2895068749999998</v>
      </c>
      <c r="BF8">
        <v>3.2895068749999998</v>
      </c>
      <c r="BG8">
        <v>3.2895068749999998</v>
      </c>
      <c r="BH8">
        <v>3.2895068749999998</v>
      </c>
      <c r="BI8">
        <v>3.2895068749999998</v>
      </c>
      <c r="BJ8">
        <v>3.2895068749999998</v>
      </c>
      <c r="BK8">
        <v>3.2895068749999998</v>
      </c>
      <c r="BL8">
        <v>3.2895068749999998</v>
      </c>
      <c r="BM8">
        <v>3.2895068749999998</v>
      </c>
      <c r="BN8">
        <v>3.2895068749999998</v>
      </c>
      <c r="BO8">
        <v>3.2895068749999998</v>
      </c>
      <c r="BP8">
        <v>3.2895068749999998</v>
      </c>
      <c r="BQ8">
        <v>3.2895068749999998</v>
      </c>
      <c r="BR8">
        <v>3.2895068749999998</v>
      </c>
      <c r="BS8">
        <v>3.2895068749999998</v>
      </c>
      <c r="BT8">
        <v>3.2895068749999998</v>
      </c>
      <c r="BU8">
        <v>3.2895068749999998</v>
      </c>
      <c r="BV8">
        <v>3.2895068749999998</v>
      </c>
      <c r="BW8">
        <v>3.2895068749999998</v>
      </c>
      <c r="BX8">
        <v>3.2895068749999998</v>
      </c>
      <c r="BY8">
        <v>3.2895068749999998</v>
      </c>
      <c r="BZ8">
        <v>3.2895068749999998</v>
      </c>
      <c r="CA8">
        <v>3.2895068749999998</v>
      </c>
      <c r="CB8">
        <v>3.2895068749999998</v>
      </c>
      <c r="CC8">
        <v>3.2895068749999998</v>
      </c>
      <c r="CD8">
        <v>3.2895068749999998</v>
      </c>
      <c r="CE8">
        <v>3.2895068749999998</v>
      </c>
      <c r="CF8">
        <v>3.2895068749999998</v>
      </c>
      <c r="CG8">
        <v>3.2895068749999998</v>
      </c>
      <c r="CH8">
        <v>3.2895068749999998</v>
      </c>
      <c r="CI8">
        <v>3.2895068749999998</v>
      </c>
      <c r="CJ8">
        <v>3.2895068749999998</v>
      </c>
      <c r="CK8">
        <v>3.2895068749999998</v>
      </c>
      <c r="CL8">
        <v>3.2895068749999998</v>
      </c>
      <c r="CM8">
        <v>3.2895068749999998</v>
      </c>
      <c r="CN8">
        <v>3.2895068749999998</v>
      </c>
      <c r="CO8">
        <v>3.2895068749999998</v>
      </c>
      <c r="CP8">
        <v>3.2895068749999998</v>
      </c>
      <c r="CQ8">
        <v>3.2895068749999998</v>
      </c>
      <c r="CR8">
        <v>3.2895068749999998</v>
      </c>
      <c r="CS8">
        <v>3.2895068749999998</v>
      </c>
      <c r="CT8">
        <v>3.2895068749999998</v>
      </c>
      <c r="CU8">
        <v>3.2895068749999998</v>
      </c>
      <c r="CV8">
        <v>3.2895068749999998</v>
      </c>
      <c r="CW8">
        <v>3.2895068749999998</v>
      </c>
      <c r="CX8">
        <v>3.2895068749999998</v>
      </c>
      <c r="CY8">
        <v>3.2895068749999998</v>
      </c>
      <c r="CZ8">
        <v>3.2895068749999998</v>
      </c>
      <c r="DA8">
        <v>3.2895068749999998</v>
      </c>
      <c r="DB8">
        <v>3.2895068749999998</v>
      </c>
      <c r="DC8" s="1">
        <v>3.2895068749999998</v>
      </c>
      <c r="DD8">
        <v>3.2895068749999998</v>
      </c>
      <c r="DE8">
        <v>3.2895068749999998</v>
      </c>
      <c r="DF8" s="1">
        <v>3.2895068749999998</v>
      </c>
      <c r="DG8" s="2">
        <v>3.2895068749999998</v>
      </c>
      <c r="DH8">
        <v>3.2895068749999998</v>
      </c>
      <c r="DI8">
        <v>3.2895068749999998</v>
      </c>
      <c r="DJ8">
        <v>3.2895068749999998</v>
      </c>
      <c r="DK8">
        <v>3.2895068749999998</v>
      </c>
      <c r="DL8">
        <v>3.2895068749999998</v>
      </c>
      <c r="DM8">
        <v>3.2895068749999998</v>
      </c>
      <c r="DN8">
        <v>3.2895068749999998</v>
      </c>
      <c r="DO8">
        <v>3.2895068749999998</v>
      </c>
    </row>
    <row r="9" spans="1:119">
      <c r="A9" t="s">
        <v>4</v>
      </c>
      <c r="B9">
        <v>2045</v>
      </c>
      <c r="C9">
        <v>3.5122393750000001</v>
      </c>
      <c r="D9">
        <v>3.5122393750000001</v>
      </c>
      <c r="E9">
        <v>3.5122393750000001</v>
      </c>
      <c r="F9">
        <v>3.5122393750000001</v>
      </c>
      <c r="G9">
        <v>3.5122393750000001</v>
      </c>
      <c r="H9">
        <v>3.5122393750000001</v>
      </c>
      <c r="I9">
        <v>3.5122393750000001</v>
      </c>
      <c r="J9">
        <v>3.5122393750000001</v>
      </c>
      <c r="K9">
        <v>3.5122393750000001</v>
      </c>
      <c r="L9">
        <v>3.5122393750000001</v>
      </c>
      <c r="M9">
        <v>3.5122393750000001</v>
      </c>
      <c r="N9">
        <v>3.5122393750000001</v>
      </c>
      <c r="O9">
        <v>3.5122393750000001</v>
      </c>
      <c r="P9">
        <v>3.5122393750000001</v>
      </c>
      <c r="Q9">
        <v>3.5122393750000001</v>
      </c>
      <c r="R9">
        <v>3.5122393750000001</v>
      </c>
      <c r="S9" s="2">
        <v>3.5122393750000001</v>
      </c>
      <c r="T9" s="1">
        <v>3.5122393750000001</v>
      </c>
      <c r="U9" s="2">
        <v>3.5122393750000001</v>
      </c>
      <c r="V9" s="1">
        <v>3.5122393750000001</v>
      </c>
      <c r="W9">
        <v>3.5122393750000001</v>
      </c>
      <c r="X9">
        <v>3.5122393750000001</v>
      </c>
      <c r="Y9">
        <v>3.5122393750000001</v>
      </c>
      <c r="Z9">
        <v>3.5122393750000001</v>
      </c>
      <c r="AA9">
        <v>3.5122393750000001</v>
      </c>
      <c r="AB9">
        <v>3.5122393750000001</v>
      </c>
      <c r="AC9">
        <v>3.5122393750000001</v>
      </c>
      <c r="AD9">
        <v>3.5122393750000001</v>
      </c>
      <c r="AE9">
        <v>3.5122393750000001</v>
      </c>
      <c r="AF9">
        <v>3.5122393750000001</v>
      </c>
      <c r="AG9">
        <v>3.5122393750000001</v>
      </c>
      <c r="AH9">
        <v>3.5122393750000001</v>
      </c>
      <c r="AI9">
        <v>3.5122393750000001</v>
      </c>
      <c r="AJ9">
        <v>3.5122393750000001</v>
      </c>
      <c r="AK9">
        <v>3.5122393750000001</v>
      </c>
      <c r="AL9">
        <v>3.5122393750000001</v>
      </c>
      <c r="AM9">
        <v>3.5122393750000001</v>
      </c>
      <c r="AN9">
        <v>3.5122393750000001</v>
      </c>
      <c r="AO9">
        <v>3.5122393750000001</v>
      </c>
      <c r="AP9">
        <v>3.5122393750000001</v>
      </c>
      <c r="AQ9">
        <v>3.5122393750000001</v>
      </c>
      <c r="AR9">
        <v>3.5122393750000001</v>
      </c>
      <c r="AS9">
        <v>3.5122393750000001</v>
      </c>
      <c r="AT9">
        <v>3.5122393750000001</v>
      </c>
      <c r="AU9">
        <v>3.5122393750000001</v>
      </c>
      <c r="AV9">
        <v>3.5122393750000001</v>
      </c>
      <c r="AW9">
        <v>3.5122393750000001</v>
      </c>
      <c r="AX9">
        <v>3.5122393750000001</v>
      </c>
      <c r="AY9">
        <v>3.5122393750000001</v>
      </c>
      <c r="AZ9">
        <v>3.5122393750000001</v>
      </c>
      <c r="BA9">
        <v>3.5122393750000001</v>
      </c>
      <c r="BB9">
        <v>3.5122393750000001</v>
      </c>
      <c r="BC9">
        <v>3.5122393750000001</v>
      </c>
      <c r="BD9">
        <v>3.5122393750000001</v>
      </c>
      <c r="BE9">
        <v>3.5122393750000001</v>
      </c>
      <c r="BF9">
        <v>3.5122393750000001</v>
      </c>
      <c r="BG9">
        <v>3.5122393750000001</v>
      </c>
      <c r="BH9">
        <v>3.5122393750000001</v>
      </c>
      <c r="BI9">
        <v>3.5122393750000001</v>
      </c>
      <c r="BJ9">
        <v>3.5122393750000001</v>
      </c>
      <c r="BK9">
        <v>3.5122393750000001</v>
      </c>
      <c r="BL9">
        <v>3.5122393750000001</v>
      </c>
      <c r="BM9">
        <v>3.5122393750000001</v>
      </c>
      <c r="BN9">
        <v>3.5122393750000001</v>
      </c>
      <c r="BO9">
        <v>3.5122393750000001</v>
      </c>
      <c r="BP9">
        <v>3.5122393750000001</v>
      </c>
      <c r="BQ9">
        <v>3.5122393750000001</v>
      </c>
      <c r="BR9">
        <v>3.5122393750000001</v>
      </c>
      <c r="BS9">
        <v>3.5122393750000001</v>
      </c>
      <c r="BT9">
        <v>3.5122393750000001</v>
      </c>
      <c r="BU9">
        <v>3.5122393750000001</v>
      </c>
      <c r="BV9">
        <v>3.5122393750000001</v>
      </c>
      <c r="BW9">
        <v>3.5122393750000001</v>
      </c>
      <c r="BX9">
        <v>3.5122393750000001</v>
      </c>
      <c r="BY9">
        <v>3.5122393750000001</v>
      </c>
      <c r="BZ9">
        <v>3.5122393750000001</v>
      </c>
      <c r="CA9">
        <v>3.5122393750000001</v>
      </c>
      <c r="CB9">
        <v>3.5122393750000001</v>
      </c>
      <c r="CC9">
        <v>3.5122393750000001</v>
      </c>
      <c r="CD9">
        <v>3.5122393750000001</v>
      </c>
      <c r="CE9">
        <v>3.5122393750000001</v>
      </c>
      <c r="CF9">
        <v>3.5122393750000001</v>
      </c>
      <c r="CG9">
        <v>3.5122393750000001</v>
      </c>
      <c r="CH9">
        <v>3.5122393750000001</v>
      </c>
      <c r="CI9">
        <v>3.5122393750000001</v>
      </c>
      <c r="CJ9">
        <v>3.5122393750000001</v>
      </c>
      <c r="CK9">
        <v>3.5122393750000001</v>
      </c>
      <c r="CL9">
        <v>3.5122393750000001</v>
      </c>
      <c r="CM9">
        <v>3.5122393750000001</v>
      </c>
      <c r="CN9">
        <v>3.5122393750000001</v>
      </c>
      <c r="CO9">
        <v>3.5122393750000001</v>
      </c>
      <c r="CP9">
        <v>3.5122393750000001</v>
      </c>
      <c r="CQ9">
        <v>3.5122393750000001</v>
      </c>
      <c r="CR9">
        <v>3.5122393750000001</v>
      </c>
      <c r="CS9">
        <v>3.5122393750000001</v>
      </c>
      <c r="CT9">
        <v>3.5122393750000001</v>
      </c>
      <c r="CU9">
        <v>3.5122393750000001</v>
      </c>
      <c r="CV9">
        <v>3.5122393750000001</v>
      </c>
      <c r="CW9">
        <v>3.5122393750000001</v>
      </c>
      <c r="CX9">
        <v>3.5122393750000001</v>
      </c>
      <c r="CY9">
        <v>3.5122393750000001</v>
      </c>
      <c r="CZ9">
        <v>3.5122393750000001</v>
      </c>
      <c r="DA9">
        <v>3.5122393750000001</v>
      </c>
      <c r="DB9">
        <v>3.5122393750000001</v>
      </c>
      <c r="DC9" s="1">
        <v>3.5122393750000001</v>
      </c>
      <c r="DD9">
        <v>3.5122393750000001</v>
      </c>
      <c r="DE9">
        <v>3.5122393750000001</v>
      </c>
      <c r="DF9" s="1">
        <v>3.5122393750000001</v>
      </c>
      <c r="DG9" s="2">
        <v>3.5122393750000001</v>
      </c>
      <c r="DH9">
        <v>3.5122393750000001</v>
      </c>
      <c r="DI9">
        <v>3.5122393750000001</v>
      </c>
      <c r="DJ9">
        <v>3.5122393750000001</v>
      </c>
      <c r="DK9">
        <v>3.5122393750000001</v>
      </c>
      <c r="DL9">
        <v>3.5122393750000001</v>
      </c>
      <c r="DM9">
        <v>3.5122393750000001</v>
      </c>
      <c r="DN9">
        <v>3.5122393750000001</v>
      </c>
      <c r="DO9">
        <v>3.5122393750000001</v>
      </c>
    </row>
    <row r="10" spans="1:119">
      <c r="A10" t="s">
        <v>5</v>
      </c>
      <c r="B10">
        <v>2021</v>
      </c>
      <c r="C10">
        <v>44.5918555704</v>
      </c>
      <c r="D10">
        <v>33.063000141300002</v>
      </c>
      <c r="E10">
        <v>67.702284476599999</v>
      </c>
      <c r="F10">
        <v>30.446252643899999</v>
      </c>
      <c r="G10">
        <v>21.610398466700001</v>
      </c>
      <c r="H10">
        <v>15.903463921</v>
      </c>
      <c r="I10">
        <v>24.705749435800001</v>
      </c>
      <c r="J10">
        <v>40.358093335600003</v>
      </c>
      <c r="K10">
        <v>24.0987857533</v>
      </c>
      <c r="L10">
        <v>41.305731902700003</v>
      </c>
      <c r="M10">
        <v>40.5074892827</v>
      </c>
      <c r="N10">
        <v>16.644129506900001</v>
      </c>
      <c r="O10">
        <v>19.992955757099999</v>
      </c>
      <c r="P10">
        <v>22.797095648399999</v>
      </c>
      <c r="Q10">
        <v>29.288489291299999</v>
      </c>
      <c r="R10">
        <v>28.7520724886</v>
      </c>
      <c r="S10" s="2">
        <v>17.844746520800001</v>
      </c>
      <c r="T10" s="1">
        <v>11.4745970296</v>
      </c>
      <c r="U10" s="2">
        <v>31.644983268200001</v>
      </c>
      <c r="V10" s="1">
        <v>24.6178998052</v>
      </c>
      <c r="W10">
        <v>108.82270766400001</v>
      </c>
      <c r="X10">
        <v>24.7322168191</v>
      </c>
      <c r="Y10">
        <v>26.7561124339</v>
      </c>
      <c r="Z10">
        <v>87.646898396899999</v>
      </c>
      <c r="AA10">
        <v>21.9055953232</v>
      </c>
      <c r="AB10">
        <v>27.127020088399998</v>
      </c>
      <c r="AC10">
        <v>16.288303925800001</v>
      </c>
      <c r="AD10">
        <v>11.7337637757</v>
      </c>
      <c r="AE10">
        <v>21.668137896000001</v>
      </c>
      <c r="AF10">
        <v>22.280948512999998</v>
      </c>
      <c r="AG10">
        <v>15.0962468936</v>
      </c>
      <c r="AH10">
        <v>38.2269405686</v>
      </c>
      <c r="AI10">
        <v>34.754725787799998</v>
      </c>
      <c r="AJ10">
        <v>68.880454388800004</v>
      </c>
      <c r="AK10">
        <v>9.03090638768</v>
      </c>
      <c r="AL10">
        <v>26.079993852299999</v>
      </c>
      <c r="AM10">
        <v>52.620318881999999</v>
      </c>
      <c r="AN10">
        <v>55.959269180200003</v>
      </c>
      <c r="AO10">
        <v>40.520955219100003</v>
      </c>
      <c r="AP10">
        <v>11.5552491948</v>
      </c>
      <c r="AQ10">
        <v>21.601202902099999</v>
      </c>
      <c r="AR10">
        <v>28.3361090436</v>
      </c>
      <c r="AS10">
        <v>63.174381477799997</v>
      </c>
      <c r="AT10">
        <v>46.245790363600001</v>
      </c>
      <c r="AU10">
        <v>18.089802919499999</v>
      </c>
      <c r="AV10">
        <v>34.6407193079</v>
      </c>
      <c r="AW10">
        <v>39.663982755399999</v>
      </c>
      <c r="AX10">
        <v>32.587336674299998</v>
      </c>
      <c r="AY10">
        <v>10.489338457200001</v>
      </c>
      <c r="AZ10">
        <v>27.753789001000001</v>
      </c>
      <c r="BA10">
        <v>26.039969810700001</v>
      </c>
      <c r="BB10">
        <v>14.156000180099999</v>
      </c>
      <c r="BC10">
        <v>56.9907405927</v>
      </c>
      <c r="BD10">
        <v>90.642691629200002</v>
      </c>
      <c r="BE10">
        <v>41.877115329299997</v>
      </c>
      <c r="BF10">
        <v>19.912085518400001</v>
      </c>
      <c r="BG10">
        <v>19.386877425400002</v>
      </c>
      <c r="BH10">
        <v>31.490839167000001</v>
      </c>
      <c r="BI10">
        <v>34.493422088599999</v>
      </c>
      <c r="BJ10">
        <v>29.243677146500001</v>
      </c>
      <c r="BK10">
        <v>34.729210504000001</v>
      </c>
      <c r="BL10">
        <v>17.942511034100001</v>
      </c>
      <c r="BM10">
        <v>18.907590365499999</v>
      </c>
      <c r="BN10">
        <v>24.762357673499999</v>
      </c>
      <c r="BO10">
        <v>24.0261660235</v>
      </c>
      <c r="BP10">
        <v>20.353241071999999</v>
      </c>
      <c r="BQ10">
        <v>17.345609043500001</v>
      </c>
      <c r="BR10">
        <v>20.989790944300001</v>
      </c>
      <c r="BS10">
        <v>23.4453792873</v>
      </c>
      <c r="BT10">
        <v>27.2782374401</v>
      </c>
      <c r="BU10">
        <v>28.402969835099999</v>
      </c>
      <c r="BV10">
        <v>21.355538017499999</v>
      </c>
      <c r="BW10">
        <v>38.343990246799997</v>
      </c>
      <c r="BX10">
        <v>46.477265280600001</v>
      </c>
      <c r="BY10">
        <v>10.5458526839</v>
      </c>
      <c r="BZ10">
        <v>41.868702109200001</v>
      </c>
      <c r="CA10">
        <v>30.2589900724</v>
      </c>
      <c r="CB10">
        <v>57.4327833834</v>
      </c>
      <c r="CC10">
        <v>15.624780687499999</v>
      </c>
      <c r="CD10">
        <v>22.955194219900001</v>
      </c>
      <c r="CE10">
        <v>54.184607617700003</v>
      </c>
      <c r="CF10">
        <v>15.8894474433</v>
      </c>
      <c r="CG10">
        <v>18.7714127142</v>
      </c>
      <c r="CH10">
        <v>24.256207437299999</v>
      </c>
      <c r="CI10">
        <v>41.245879132600002</v>
      </c>
      <c r="CJ10">
        <v>29.220739394599999</v>
      </c>
      <c r="CK10">
        <v>21.046539997299998</v>
      </c>
      <c r="CL10">
        <v>23.074182156999999</v>
      </c>
      <c r="CM10">
        <v>48.373257657700002</v>
      </c>
      <c r="CN10">
        <v>59.800302612199999</v>
      </c>
      <c r="CO10">
        <v>24.212935469000001</v>
      </c>
      <c r="CP10">
        <v>36.1399888021</v>
      </c>
      <c r="CQ10">
        <v>27.482503471299999</v>
      </c>
      <c r="CR10">
        <v>19.0078739062</v>
      </c>
      <c r="CS10">
        <v>21.418654625599999</v>
      </c>
      <c r="CT10">
        <v>17.546742340600002</v>
      </c>
      <c r="CU10">
        <v>51.080398924599997</v>
      </c>
      <c r="CV10">
        <v>67.8589348669</v>
      </c>
      <c r="CW10">
        <v>35.160894542999998</v>
      </c>
      <c r="CX10">
        <v>74.823916771200004</v>
      </c>
      <c r="CY10">
        <v>14.510044429800001</v>
      </c>
      <c r="CZ10">
        <v>49.020309036</v>
      </c>
      <c r="DA10">
        <v>24.241687049599999</v>
      </c>
      <c r="DB10">
        <v>20.722770880700001</v>
      </c>
      <c r="DC10" s="1">
        <v>10.9776214823</v>
      </c>
      <c r="DD10">
        <v>11.992526871999999</v>
      </c>
      <c r="DE10">
        <v>63.892925887899999</v>
      </c>
      <c r="DF10" s="1">
        <v>24.963671329</v>
      </c>
      <c r="DG10" s="2">
        <v>38.954257589599997</v>
      </c>
      <c r="DH10">
        <v>13.4505988233</v>
      </c>
      <c r="DI10">
        <v>45.473177157800002</v>
      </c>
      <c r="DJ10">
        <v>67.442416477799995</v>
      </c>
      <c r="DK10">
        <v>33.988018454399999</v>
      </c>
      <c r="DL10">
        <v>29.397905460499999</v>
      </c>
      <c r="DM10">
        <v>17.522273293000001</v>
      </c>
      <c r="DN10">
        <v>28.0975224962</v>
      </c>
      <c r="DO10">
        <v>11.526229882999999</v>
      </c>
    </row>
    <row r="11" spans="1:119">
      <c r="A11" t="s">
        <v>5</v>
      </c>
      <c r="B11">
        <v>2029</v>
      </c>
      <c r="C11">
        <v>128.93732276599999</v>
      </c>
      <c r="D11">
        <v>35.651560544399999</v>
      </c>
      <c r="E11">
        <v>112.85580002899999</v>
      </c>
      <c r="F11">
        <v>20.004335822600002</v>
      </c>
      <c r="G11">
        <v>15.6358176243</v>
      </c>
      <c r="H11">
        <v>20.7318688983</v>
      </c>
      <c r="I11">
        <v>17.7151048946</v>
      </c>
      <c r="J11">
        <v>56.942026919100002</v>
      </c>
      <c r="K11">
        <v>92.390487934299998</v>
      </c>
      <c r="L11">
        <v>29.927367200399999</v>
      </c>
      <c r="M11">
        <v>40.943705252400001</v>
      </c>
      <c r="N11">
        <v>7.1260842531000002</v>
      </c>
      <c r="O11">
        <v>85.288018718700002</v>
      </c>
      <c r="P11">
        <v>27.779953495400001</v>
      </c>
      <c r="Q11">
        <v>23.151495932</v>
      </c>
      <c r="R11">
        <v>28.740089303200001</v>
      </c>
      <c r="S11" s="2">
        <v>44.653745156200003</v>
      </c>
      <c r="T11" s="1">
        <v>59.569892048</v>
      </c>
      <c r="U11" s="2">
        <v>10.9914721689</v>
      </c>
      <c r="V11" s="1">
        <v>18.6971385328</v>
      </c>
      <c r="W11">
        <v>172.80002407699999</v>
      </c>
      <c r="X11">
        <v>28.908879622600001</v>
      </c>
      <c r="Y11">
        <v>43.8172029499</v>
      </c>
      <c r="Z11">
        <v>338.51974621599999</v>
      </c>
      <c r="AA11">
        <v>55.011587084200002</v>
      </c>
      <c r="AB11">
        <v>18.8494395341</v>
      </c>
      <c r="AC11">
        <v>66.9995555852</v>
      </c>
      <c r="AD11">
        <v>27.9478497068</v>
      </c>
      <c r="AE11">
        <v>56.3237236135</v>
      </c>
      <c r="AF11">
        <v>22.089073395300002</v>
      </c>
      <c r="AG11">
        <v>34.296000801700004</v>
      </c>
      <c r="AH11">
        <v>18.837009713299999</v>
      </c>
      <c r="AI11">
        <v>260.75654796700002</v>
      </c>
      <c r="AJ11">
        <v>311.35884837700002</v>
      </c>
      <c r="AK11">
        <v>9.8387311736799994</v>
      </c>
      <c r="AL11">
        <v>14.702739358500001</v>
      </c>
      <c r="AM11">
        <v>81.240214051099997</v>
      </c>
      <c r="AN11">
        <v>163.242244258</v>
      </c>
      <c r="AO11">
        <v>149.170298352</v>
      </c>
      <c r="AP11">
        <v>7.3335409159999996</v>
      </c>
      <c r="AQ11">
        <v>82.127875828100002</v>
      </c>
      <c r="AR11">
        <v>43.4951133928</v>
      </c>
      <c r="AS11">
        <v>250.184772904</v>
      </c>
      <c r="AT11">
        <v>81.940208896399994</v>
      </c>
      <c r="AU11">
        <v>34.460622759499998</v>
      </c>
      <c r="AV11">
        <v>130.463627116</v>
      </c>
      <c r="AW11">
        <v>48.5568066903</v>
      </c>
      <c r="AX11">
        <v>92.172807606399999</v>
      </c>
      <c r="AY11">
        <v>9.3066039809600003</v>
      </c>
      <c r="AZ11">
        <v>35.392584557399999</v>
      </c>
      <c r="BA11">
        <v>43.240340409600002</v>
      </c>
      <c r="BB11">
        <v>10.9334434504</v>
      </c>
      <c r="BC11">
        <v>119.510381971</v>
      </c>
      <c r="BD11">
        <v>325.03890156699998</v>
      </c>
      <c r="BE11">
        <v>36.813329191299999</v>
      </c>
      <c r="BF11">
        <v>48.746796867</v>
      </c>
      <c r="BG11">
        <v>18.485815973600001</v>
      </c>
      <c r="BH11">
        <v>47.785367099399998</v>
      </c>
      <c r="BI11">
        <v>73.524566969000006</v>
      </c>
      <c r="BJ11">
        <v>36.941263507999999</v>
      </c>
      <c r="BK11">
        <v>119.237702098</v>
      </c>
      <c r="BL11">
        <v>38.351335766799998</v>
      </c>
      <c r="BM11">
        <v>34.266328224799999</v>
      </c>
      <c r="BN11">
        <v>54.026751535599999</v>
      </c>
      <c r="BO11">
        <v>14.606487876999999</v>
      </c>
      <c r="BP11">
        <v>49.309182588900001</v>
      </c>
      <c r="BQ11">
        <v>7.8753505113799998</v>
      </c>
      <c r="BR11">
        <v>55.570937584399999</v>
      </c>
      <c r="BS11">
        <v>24.639407445900002</v>
      </c>
      <c r="BT11">
        <v>72.437864114600004</v>
      </c>
      <c r="BU11">
        <v>104.577674866</v>
      </c>
      <c r="BV11">
        <v>19.445318872600001</v>
      </c>
      <c r="BW11">
        <v>40.731166802300002</v>
      </c>
      <c r="BX11">
        <v>106.13191373799999</v>
      </c>
      <c r="BY11">
        <v>36.2025307969</v>
      </c>
      <c r="BZ11">
        <v>58.566721116300002</v>
      </c>
      <c r="CA11">
        <v>21.2551781634</v>
      </c>
      <c r="CB11">
        <v>133.551996616</v>
      </c>
      <c r="CC11">
        <v>24.905294552099999</v>
      </c>
      <c r="CD11">
        <v>35.929798743699997</v>
      </c>
      <c r="CE11">
        <v>105.932741771</v>
      </c>
      <c r="CF11">
        <v>10.4810889878</v>
      </c>
      <c r="CG11">
        <v>14.959173917099999</v>
      </c>
      <c r="CH11">
        <v>40.650993289500001</v>
      </c>
      <c r="CI11">
        <v>27.968913236599999</v>
      </c>
      <c r="CJ11">
        <v>15.3142198394</v>
      </c>
      <c r="CK11">
        <v>54.338529236600003</v>
      </c>
      <c r="CL11">
        <v>38.8712014213</v>
      </c>
      <c r="CM11">
        <v>65.197986041500002</v>
      </c>
      <c r="CN11">
        <v>103.77599054700001</v>
      </c>
      <c r="CO11">
        <v>83.283989171599998</v>
      </c>
      <c r="CP11">
        <v>81.171903635600003</v>
      </c>
      <c r="CQ11">
        <v>68.751363925000007</v>
      </c>
      <c r="CR11">
        <v>44.8973731249</v>
      </c>
      <c r="CS11">
        <v>61.027659638300001</v>
      </c>
      <c r="CT11">
        <v>15.0165503003</v>
      </c>
      <c r="CU11">
        <v>46.996329765200002</v>
      </c>
      <c r="CV11">
        <v>85.738357961099993</v>
      </c>
      <c r="CW11">
        <v>60.356780640399997</v>
      </c>
      <c r="CX11">
        <v>140.11487335699999</v>
      </c>
      <c r="CY11">
        <v>24.660699403599999</v>
      </c>
      <c r="CZ11">
        <v>33.708685596999999</v>
      </c>
      <c r="DA11">
        <v>30.372996348499999</v>
      </c>
      <c r="DB11">
        <v>18.997644411700001</v>
      </c>
      <c r="DC11" s="1">
        <v>6.4173343482299998</v>
      </c>
      <c r="DD11">
        <v>15.3152037493</v>
      </c>
      <c r="DE11">
        <v>90.217435589100006</v>
      </c>
      <c r="DF11" s="1">
        <v>44.730496442499998</v>
      </c>
      <c r="DG11" s="2">
        <v>30.9296982933</v>
      </c>
      <c r="DH11">
        <v>22.2985012328</v>
      </c>
      <c r="DI11">
        <v>46.484032726800002</v>
      </c>
      <c r="DJ11">
        <v>148.703592327</v>
      </c>
      <c r="DK11">
        <v>37.115322291200002</v>
      </c>
      <c r="DL11">
        <v>12.2735880378</v>
      </c>
      <c r="DM11">
        <v>25.936417967499999</v>
      </c>
      <c r="DN11">
        <v>20.415949847</v>
      </c>
      <c r="DO11">
        <v>9.79879711263</v>
      </c>
    </row>
    <row r="12" spans="1:119">
      <c r="A12" t="s">
        <v>5</v>
      </c>
      <c r="B12">
        <v>2037</v>
      </c>
      <c r="C12">
        <v>549.33420556900001</v>
      </c>
      <c r="D12">
        <v>148.78146686100001</v>
      </c>
      <c r="E12">
        <v>408.77490006699998</v>
      </c>
      <c r="F12">
        <v>18.796503864999998</v>
      </c>
      <c r="G12">
        <v>43.883369095900001</v>
      </c>
      <c r="H12">
        <v>48.761772908099999</v>
      </c>
      <c r="I12">
        <v>23.052900873599999</v>
      </c>
      <c r="J12">
        <v>109.050433918</v>
      </c>
      <c r="K12">
        <v>417.98723720200002</v>
      </c>
      <c r="L12">
        <v>49.770616133399997</v>
      </c>
      <c r="M12">
        <v>31.7578306411</v>
      </c>
      <c r="N12">
        <v>11.623712084599999</v>
      </c>
      <c r="O12">
        <v>113.080667545</v>
      </c>
      <c r="P12">
        <v>97.784961371999998</v>
      </c>
      <c r="Q12">
        <v>19.082074352100001</v>
      </c>
      <c r="R12">
        <v>96.018785664500001</v>
      </c>
      <c r="S12" s="2">
        <v>193.49207458999999</v>
      </c>
      <c r="T12" s="1">
        <v>130.44626464500001</v>
      </c>
      <c r="U12" s="2">
        <v>51.043052818900001</v>
      </c>
      <c r="V12" s="1">
        <v>42.819953533300001</v>
      </c>
      <c r="W12">
        <v>483.73286523100001</v>
      </c>
      <c r="X12">
        <v>184.699449133</v>
      </c>
      <c r="Y12">
        <v>36.203170935300001</v>
      </c>
      <c r="Z12">
        <v>867.886418628</v>
      </c>
      <c r="AA12">
        <v>31.0817179115</v>
      </c>
      <c r="AB12">
        <v>21.026634805800001</v>
      </c>
      <c r="AC12">
        <v>66.297903879399996</v>
      </c>
      <c r="AD12">
        <v>53.264893727100002</v>
      </c>
      <c r="AE12">
        <v>133.000906832</v>
      </c>
      <c r="AF12">
        <v>110.22644556</v>
      </c>
      <c r="AG12">
        <v>31.351857298599999</v>
      </c>
      <c r="AH12">
        <v>58.421527520799998</v>
      </c>
      <c r="AI12">
        <v>849.23287993099996</v>
      </c>
      <c r="AJ12">
        <v>731.70433600199999</v>
      </c>
      <c r="AK12">
        <v>24.9050911046</v>
      </c>
      <c r="AL12">
        <v>17.951547919199999</v>
      </c>
      <c r="AM12">
        <v>59.145973279800003</v>
      </c>
      <c r="AN12">
        <v>158.686951064</v>
      </c>
      <c r="AO12">
        <v>266.245104685</v>
      </c>
      <c r="AP12">
        <v>8.2401099842299992</v>
      </c>
      <c r="AQ12">
        <v>132.12207221700001</v>
      </c>
      <c r="AR12">
        <v>60.388462298999997</v>
      </c>
      <c r="AS12">
        <v>1091.2825948100001</v>
      </c>
      <c r="AT12">
        <v>101.08212189699999</v>
      </c>
      <c r="AU12">
        <v>39.745797119599999</v>
      </c>
      <c r="AV12">
        <v>351.19519429600001</v>
      </c>
      <c r="AW12">
        <v>172.63139247000001</v>
      </c>
      <c r="AX12">
        <v>301.89996571699999</v>
      </c>
      <c r="AY12">
        <v>13.398797887800001</v>
      </c>
      <c r="AZ12">
        <v>120.69241462700001</v>
      </c>
      <c r="BA12">
        <v>70.537730986300005</v>
      </c>
      <c r="BB12">
        <v>20.494800011399999</v>
      </c>
      <c r="BC12">
        <v>564.94338979999998</v>
      </c>
      <c r="BD12">
        <v>688.525416017</v>
      </c>
      <c r="BE12">
        <v>33.913805109099997</v>
      </c>
      <c r="BF12">
        <v>293.09165186899997</v>
      </c>
      <c r="BG12">
        <v>27.623035184500001</v>
      </c>
      <c r="BH12">
        <v>94.299976552900006</v>
      </c>
      <c r="BI12">
        <v>106.445845783</v>
      </c>
      <c r="BJ12">
        <v>62.0765480771</v>
      </c>
      <c r="BK12">
        <v>256.62134980600001</v>
      </c>
      <c r="BL12">
        <v>47.373714529899999</v>
      </c>
      <c r="BM12">
        <v>33.039497783800002</v>
      </c>
      <c r="BN12">
        <v>56.223873206500002</v>
      </c>
      <c r="BO12">
        <v>5.2340478306799998</v>
      </c>
      <c r="BP12">
        <v>76.175150546500006</v>
      </c>
      <c r="BQ12">
        <v>9.0429481494400008</v>
      </c>
      <c r="BR12">
        <v>257.13042326499999</v>
      </c>
      <c r="BS12">
        <v>152.12238726800001</v>
      </c>
      <c r="BT12">
        <v>400.56489102099999</v>
      </c>
      <c r="BU12">
        <v>324.01712954800001</v>
      </c>
      <c r="BV12">
        <v>35.958541592899998</v>
      </c>
      <c r="BW12">
        <v>104.020028295</v>
      </c>
      <c r="BX12">
        <v>143.38691495800001</v>
      </c>
      <c r="BY12">
        <v>58.819231510599998</v>
      </c>
      <c r="BZ12">
        <v>105.117456453</v>
      </c>
      <c r="CA12">
        <v>17.760798949800002</v>
      </c>
      <c r="CB12">
        <v>186.48663596899999</v>
      </c>
      <c r="CC12">
        <v>70.6626611696</v>
      </c>
      <c r="CD12">
        <v>70.137404329500001</v>
      </c>
      <c r="CE12">
        <v>486.00317900800002</v>
      </c>
      <c r="CF12">
        <v>31.672107945299999</v>
      </c>
      <c r="CG12">
        <v>7.6482623657</v>
      </c>
      <c r="CH12">
        <v>237.27185370500001</v>
      </c>
      <c r="CI12">
        <v>43.009538488499999</v>
      </c>
      <c r="CJ12">
        <v>16.6844471625</v>
      </c>
      <c r="CK12">
        <v>179.784715202</v>
      </c>
      <c r="CL12">
        <v>36.583240414700001</v>
      </c>
      <c r="CM12">
        <v>152.57601256500001</v>
      </c>
      <c r="CN12">
        <v>321.25926458999999</v>
      </c>
      <c r="CO12">
        <v>82.611018740600002</v>
      </c>
      <c r="CP12">
        <v>172.72613828199999</v>
      </c>
      <c r="CQ12">
        <v>147.364286867</v>
      </c>
      <c r="CR12">
        <v>65.081288569899996</v>
      </c>
      <c r="CS12">
        <v>216.22878990300001</v>
      </c>
      <c r="CT12">
        <v>25.6627360138</v>
      </c>
      <c r="CU12">
        <v>101.067675424</v>
      </c>
      <c r="CV12">
        <v>98.848826227399996</v>
      </c>
      <c r="CW12">
        <v>132.090133189</v>
      </c>
      <c r="CX12">
        <v>105.290949677</v>
      </c>
      <c r="CY12">
        <v>106.00328423000001</v>
      </c>
      <c r="CZ12">
        <v>71.777959259300005</v>
      </c>
      <c r="DA12">
        <v>86.786494798500001</v>
      </c>
      <c r="DB12">
        <v>25.890457247899999</v>
      </c>
      <c r="DC12" s="1">
        <v>4.4544940018799997</v>
      </c>
      <c r="DD12">
        <v>28.4520708654</v>
      </c>
      <c r="DE12">
        <v>157.26372241499999</v>
      </c>
      <c r="DF12" s="1">
        <v>441.77280594000001</v>
      </c>
      <c r="DG12" s="2">
        <v>23.200485577199998</v>
      </c>
      <c r="DH12">
        <v>68.545862369600002</v>
      </c>
      <c r="DI12">
        <v>243.858238559</v>
      </c>
      <c r="DJ12">
        <v>340.61524612900001</v>
      </c>
      <c r="DK12">
        <v>76.975860386799994</v>
      </c>
      <c r="DL12">
        <v>15.6038618077</v>
      </c>
      <c r="DM12">
        <v>45.105206969299999</v>
      </c>
      <c r="DN12">
        <v>5.8996031842600001</v>
      </c>
      <c r="DO12">
        <v>10.322906640199999</v>
      </c>
    </row>
    <row r="13" spans="1:119">
      <c r="A13" t="s">
        <v>5</v>
      </c>
      <c r="B13">
        <v>2045</v>
      </c>
      <c r="C13">
        <v>1073.7914191499999</v>
      </c>
      <c r="D13">
        <v>350.91714308500002</v>
      </c>
      <c r="E13">
        <v>370.747302021</v>
      </c>
      <c r="F13">
        <v>95.364002063100003</v>
      </c>
      <c r="G13">
        <v>123.871530706</v>
      </c>
      <c r="H13">
        <v>26.203143150300001</v>
      </c>
      <c r="I13">
        <v>121.561588508</v>
      </c>
      <c r="J13">
        <v>211.74697266999999</v>
      </c>
      <c r="K13">
        <v>433.243479917</v>
      </c>
      <c r="L13">
        <v>53.4372552373</v>
      </c>
      <c r="M13">
        <v>26.1463851426</v>
      </c>
      <c r="N13">
        <v>27.391595821199999</v>
      </c>
      <c r="O13">
        <v>112.466982235</v>
      </c>
      <c r="P13">
        <v>183.697302498</v>
      </c>
      <c r="Q13">
        <v>42.831720615000002</v>
      </c>
      <c r="R13">
        <v>81.365192884600006</v>
      </c>
      <c r="S13" s="2">
        <v>374.96222359900003</v>
      </c>
      <c r="T13" s="1">
        <v>692.99419148899995</v>
      </c>
      <c r="U13" s="2">
        <v>85.219384512700003</v>
      </c>
      <c r="V13" s="1">
        <v>167.93513571099999</v>
      </c>
      <c r="W13">
        <v>249.00441021</v>
      </c>
      <c r="X13">
        <v>391.34894810899999</v>
      </c>
      <c r="Y13">
        <v>64.180819606</v>
      </c>
      <c r="Z13">
        <v>2042.1375903600001</v>
      </c>
      <c r="AA13">
        <v>22.923088443499999</v>
      </c>
      <c r="AB13">
        <v>50.718238770200003</v>
      </c>
      <c r="AC13">
        <v>82.501523121199995</v>
      </c>
      <c r="AD13">
        <v>80.115996335199995</v>
      </c>
      <c r="AE13">
        <v>230.108497591</v>
      </c>
      <c r="AF13">
        <v>69.250557131299999</v>
      </c>
      <c r="AG13">
        <v>47.154094726399997</v>
      </c>
      <c r="AH13">
        <v>14.6417229093</v>
      </c>
      <c r="AI13">
        <v>3543.2622649499999</v>
      </c>
      <c r="AJ13">
        <v>1906.9945874499999</v>
      </c>
      <c r="AK13">
        <v>90.386001694499996</v>
      </c>
      <c r="AL13">
        <v>57.032768855400001</v>
      </c>
      <c r="AM13">
        <v>191.50813580299999</v>
      </c>
      <c r="AN13">
        <v>163.55920194500001</v>
      </c>
      <c r="AO13">
        <v>354.23636729399999</v>
      </c>
      <c r="AP13">
        <v>15.5722326654</v>
      </c>
      <c r="AQ13">
        <v>399.03490112200001</v>
      </c>
      <c r="AR13">
        <v>119.655011875</v>
      </c>
      <c r="AS13">
        <v>3637.1834703499999</v>
      </c>
      <c r="AT13">
        <v>99.250417582099999</v>
      </c>
      <c r="AU13">
        <v>53.499610888799999</v>
      </c>
      <c r="AV13">
        <v>964.66731291400004</v>
      </c>
      <c r="AW13">
        <v>246.143417285</v>
      </c>
      <c r="AX13">
        <v>316.03946606300002</v>
      </c>
      <c r="AY13">
        <v>16.835293245700001</v>
      </c>
      <c r="AZ13">
        <v>90.999145925500002</v>
      </c>
      <c r="BA13">
        <v>132.84706261599999</v>
      </c>
      <c r="BB13">
        <v>70.876558163300004</v>
      </c>
      <c r="BC13">
        <v>848.93005895399995</v>
      </c>
      <c r="BD13">
        <v>366.30890460000001</v>
      </c>
      <c r="BE13">
        <v>69.341045719199997</v>
      </c>
      <c r="BF13">
        <v>835.291379097</v>
      </c>
      <c r="BG13">
        <v>38.529014560699999</v>
      </c>
      <c r="BH13">
        <v>158.76860629800001</v>
      </c>
      <c r="BI13">
        <v>168.58270864100001</v>
      </c>
      <c r="BJ13">
        <v>230.470994464</v>
      </c>
      <c r="BK13">
        <v>454.44906825700002</v>
      </c>
      <c r="BL13">
        <v>84.014509079700005</v>
      </c>
      <c r="BM13">
        <v>108.29174238</v>
      </c>
      <c r="BN13">
        <v>131.19231187400001</v>
      </c>
      <c r="BO13">
        <v>20.186007883599999</v>
      </c>
      <c r="BP13">
        <v>345.47240331299997</v>
      </c>
      <c r="BQ13">
        <v>17.799303051300001</v>
      </c>
      <c r="BR13">
        <v>796.08838592799998</v>
      </c>
      <c r="BS13">
        <v>166.29416493700001</v>
      </c>
      <c r="BT13">
        <v>528.98865055299996</v>
      </c>
      <c r="BU13">
        <v>794.97253751999995</v>
      </c>
      <c r="BV13">
        <v>74.177026186000006</v>
      </c>
      <c r="BW13">
        <v>250.13714584900001</v>
      </c>
      <c r="BX13">
        <v>418.19798281099997</v>
      </c>
      <c r="BY13">
        <v>126.510443219</v>
      </c>
      <c r="BZ13">
        <v>68.510652884099997</v>
      </c>
      <c r="CA13">
        <v>31.8547538794</v>
      </c>
      <c r="CB13">
        <v>423.98118144199998</v>
      </c>
      <c r="CC13">
        <v>485.66556663</v>
      </c>
      <c r="CD13">
        <v>404.44537057100001</v>
      </c>
      <c r="CE13">
        <v>1271.85154283</v>
      </c>
      <c r="CF13">
        <v>70.292054381499995</v>
      </c>
      <c r="CG13">
        <v>9.6548617270499992</v>
      </c>
      <c r="CH13">
        <v>477.87954599</v>
      </c>
      <c r="CI13">
        <v>91.233023507699997</v>
      </c>
      <c r="CJ13">
        <v>9.4839674056399996</v>
      </c>
      <c r="CK13">
        <v>270.96603439299997</v>
      </c>
      <c r="CL13">
        <v>19.364456025900001</v>
      </c>
      <c r="CM13">
        <v>248.32191279099999</v>
      </c>
      <c r="CN13">
        <v>561.94344098800002</v>
      </c>
      <c r="CO13">
        <v>193.02495284599999</v>
      </c>
      <c r="CP13">
        <v>447.00362407099999</v>
      </c>
      <c r="CQ13">
        <v>127.74112237600001</v>
      </c>
      <c r="CR13">
        <v>246.844895638</v>
      </c>
      <c r="CS13">
        <v>276.21660957099999</v>
      </c>
      <c r="CT13">
        <v>64.460194071100005</v>
      </c>
      <c r="CU13">
        <v>91.423167470400003</v>
      </c>
      <c r="CV13">
        <v>49.6443534275</v>
      </c>
      <c r="CW13">
        <v>143.67461541399999</v>
      </c>
      <c r="CX13">
        <v>141.553560756</v>
      </c>
      <c r="CY13">
        <v>146.966006228</v>
      </c>
      <c r="CZ13">
        <v>192.42852752499999</v>
      </c>
      <c r="DA13">
        <v>189.40533836099999</v>
      </c>
      <c r="DB13">
        <v>19.696176227300001</v>
      </c>
      <c r="DC13" s="1">
        <v>9.4090188157300005</v>
      </c>
      <c r="DD13">
        <v>53.612349106899998</v>
      </c>
      <c r="DE13">
        <v>253.87227249399999</v>
      </c>
      <c r="DF13" s="1">
        <v>256.73591645599998</v>
      </c>
      <c r="DG13" s="2">
        <v>41.944320494199999</v>
      </c>
      <c r="DH13">
        <v>193.420242207</v>
      </c>
      <c r="DI13">
        <v>295.75372543499998</v>
      </c>
      <c r="DJ13">
        <v>912.04858966300003</v>
      </c>
      <c r="DK13">
        <v>63.15955847</v>
      </c>
      <c r="DL13">
        <v>39.563207755400001</v>
      </c>
      <c r="DM13">
        <v>42.776284336099998</v>
      </c>
      <c r="DN13">
        <v>24.2690885415</v>
      </c>
      <c r="DO13">
        <v>11.017857216199999</v>
      </c>
    </row>
    <row r="14" spans="1:119" s="1" customFormat="1">
      <c r="A14" s="1" t="s">
        <v>6</v>
      </c>
      <c r="B14" s="1">
        <v>2021</v>
      </c>
      <c r="C14" s="1">
        <v>7.4432786451600004</v>
      </c>
      <c r="D14" s="1">
        <v>6.13925709994</v>
      </c>
      <c r="E14" s="1">
        <v>10.7895883156</v>
      </c>
      <c r="F14" s="1">
        <v>13.6442628819</v>
      </c>
      <c r="G14" s="1">
        <v>9.5591980866499995</v>
      </c>
      <c r="H14" s="1">
        <v>14.0617437126</v>
      </c>
      <c r="I14" s="1">
        <v>12.453882848099999</v>
      </c>
      <c r="J14" s="1">
        <v>8.2192341622700003</v>
      </c>
      <c r="K14" s="1">
        <v>6.5199430178600002</v>
      </c>
      <c r="L14" s="1">
        <v>12.4423219035</v>
      </c>
      <c r="M14" s="1">
        <v>7.2993114225399998</v>
      </c>
      <c r="N14" s="1">
        <v>17.690163777799999</v>
      </c>
      <c r="O14" s="1">
        <v>7.9297190659399996</v>
      </c>
      <c r="P14" s="1">
        <v>7.7596177240399999</v>
      </c>
      <c r="Q14" s="1">
        <v>9.5052967821400003</v>
      </c>
      <c r="R14" s="1">
        <v>7.9030181239499999</v>
      </c>
      <c r="S14" s="1">
        <v>12.4154164908</v>
      </c>
      <c r="T14" s="1">
        <v>16.072050622199999</v>
      </c>
      <c r="U14" s="1">
        <v>15.0157397905</v>
      </c>
      <c r="V14" s="1">
        <v>44.886061188799999</v>
      </c>
      <c r="W14" s="1">
        <v>24.2653987218</v>
      </c>
      <c r="X14" s="1">
        <v>8.8103875457300003</v>
      </c>
      <c r="Y14" s="1">
        <v>8.0314153035100002</v>
      </c>
      <c r="Z14" s="1">
        <v>7.2394968785499998</v>
      </c>
      <c r="AA14" s="1">
        <v>33.0239328308</v>
      </c>
      <c r="AB14" s="1">
        <v>37.3483617188</v>
      </c>
      <c r="AC14" s="1">
        <v>6.4791597008700004</v>
      </c>
      <c r="AD14" s="1">
        <v>6.4926532850900003</v>
      </c>
      <c r="AE14" s="1">
        <v>6.7998456015900004</v>
      </c>
      <c r="AF14" s="1">
        <v>6.6513716600899997</v>
      </c>
      <c r="AG14" s="1">
        <v>10.4186664485</v>
      </c>
      <c r="AH14" s="1">
        <v>15.3606777685</v>
      </c>
      <c r="AI14" s="1">
        <v>69.883240610499996</v>
      </c>
      <c r="AJ14" s="1">
        <v>7.4148795108899996</v>
      </c>
      <c r="AK14" s="1">
        <v>6.6054643264199999</v>
      </c>
      <c r="AL14" s="1">
        <v>8.4757442169699999</v>
      </c>
      <c r="AM14" s="1">
        <v>6.6090463825799999</v>
      </c>
      <c r="AN14" s="1">
        <v>11.931973144000001</v>
      </c>
      <c r="AO14" s="1">
        <v>8.8583618226900001</v>
      </c>
      <c r="AP14" s="1">
        <v>6.5394379060299999</v>
      </c>
      <c r="AQ14" s="1">
        <v>9.9485844244199999</v>
      </c>
      <c r="AR14" s="1">
        <v>6.4921434937900004</v>
      </c>
      <c r="AS14" s="1">
        <v>6.5698143842899999</v>
      </c>
      <c r="AT14" s="1">
        <v>6.3219860415899998</v>
      </c>
      <c r="AU14" s="1">
        <v>14.5152998127</v>
      </c>
      <c r="AV14" s="1">
        <v>6.3531972966700003</v>
      </c>
      <c r="AW14" s="1">
        <v>68.5893107813</v>
      </c>
      <c r="AX14" s="1">
        <v>6.5940722568699996</v>
      </c>
      <c r="AY14" s="1">
        <v>6.7768838675899996</v>
      </c>
      <c r="AZ14" s="1">
        <v>16.177761092499999</v>
      </c>
      <c r="BA14" s="1">
        <v>24.483877586599998</v>
      </c>
      <c r="BB14" s="1">
        <v>9.8678273811300006</v>
      </c>
      <c r="BC14" s="1">
        <v>13.242631208000001</v>
      </c>
      <c r="BD14" s="1">
        <v>12.8926027536</v>
      </c>
      <c r="BE14" s="1">
        <v>6.8521587032399998</v>
      </c>
      <c r="BF14" s="1">
        <v>6.1623169089600003</v>
      </c>
      <c r="BG14" s="1">
        <v>7.1614750151899997</v>
      </c>
      <c r="BH14" s="1">
        <v>14.485476240500001</v>
      </c>
      <c r="BI14" s="1">
        <v>19.860591387900001</v>
      </c>
      <c r="BJ14" s="1">
        <v>9.8225962966099996</v>
      </c>
      <c r="BK14" s="1">
        <v>6.8174174047999996</v>
      </c>
      <c r="BL14" s="1">
        <v>15.0623225825</v>
      </c>
      <c r="BM14" s="1">
        <v>6.7441892494199998</v>
      </c>
      <c r="BN14" s="1">
        <v>12.123532986300001</v>
      </c>
      <c r="BO14" s="1">
        <v>17.941386866399998</v>
      </c>
      <c r="BP14" s="1">
        <v>6.2629990437499998</v>
      </c>
      <c r="BQ14" s="1">
        <v>7.4439237515399999</v>
      </c>
      <c r="BR14" s="1">
        <v>14.5821844705</v>
      </c>
      <c r="BS14" s="1">
        <v>7.72567707376</v>
      </c>
      <c r="BT14" s="1">
        <v>7.1961431029299998</v>
      </c>
      <c r="BU14" s="1">
        <v>11.150785613</v>
      </c>
      <c r="BV14" s="1">
        <v>10.626262287399999</v>
      </c>
      <c r="BW14" s="1">
        <v>19.497129714700002</v>
      </c>
      <c r="BX14" s="1">
        <v>16.81555698</v>
      </c>
      <c r="BY14" s="1">
        <v>13.930178655700001</v>
      </c>
      <c r="BZ14" s="1">
        <v>21.989668997700001</v>
      </c>
      <c r="CA14" s="1">
        <v>10.462857871800001</v>
      </c>
      <c r="CB14" s="1">
        <v>6.8506603640200003</v>
      </c>
      <c r="CC14" s="1">
        <v>19.123669959699999</v>
      </c>
      <c r="CD14" s="1">
        <v>8.0286435675199996</v>
      </c>
      <c r="CE14" s="1">
        <v>23.565121377899999</v>
      </c>
      <c r="CF14" s="1">
        <v>14.074404815999999</v>
      </c>
      <c r="CG14" s="1">
        <v>15.1124991998</v>
      </c>
      <c r="CH14" s="1">
        <v>11.722394959200001</v>
      </c>
      <c r="CI14" s="1">
        <v>10.982756566600001</v>
      </c>
      <c r="CJ14" s="1">
        <v>20.7761890841</v>
      </c>
      <c r="CK14" s="1">
        <v>16.776534922300002</v>
      </c>
      <c r="CL14" s="1">
        <v>6.7631454399599997</v>
      </c>
      <c r="CM14" s="1">
        <v>10.825975079899999</v>
      </c>
      <c r="CN14" s="1">
        <v>18.489689843600001</v>
      </c>
      <c r="CO14" s="1">
        <v>9.0849660396199994</v>
      </c>
      <c r="CP14" s="1">
        <v>7.3897496563700003</v>
      </c>
      <c r="CQ14" s="1">
        <v>6.7218653759600002</v>
      </c>
      <c r="CR14" s="1">
        <v>9.5166902242100004</v>
      </c>
      <c r="CS14" s="1">
        <v>6.6775685082800003</v>
      </c>
      <c r="CT14" s="1">
        <v>15.7089016372</v>
      </c>
      <c r="CU14" s="1">
        <v>9.4282732137400007</v>
      </c>
      <c r="CV14" s="1">
        <v>12.3119692168</v>
      </c>
      <c r="CW14" s="1">
        <v>8.1941992022299992</v>
      </c>
      <c r="CX14" s="1">
        <v>10.5848650164</v>
      </c>
      <c r="CY14" s="1">
        <v>7.2386420788399999</v>
      </c>
      <c r="CZ14" s="1">
        <v>15.1054942572</v>
      </c>
      <c r="DA14" s="1">
        <v>40.422361049099997</v>
      </c>
      <c r="DB14" s="1">
        <v>10.796205953499999</v>
      </c>
      <c r="DC14" s="1">
        <v>7.84739069974</v>
      </c>
      <c r="DD14" s="1">
        <v>8.1015686920899999</v>
      </c>
      <c r="DE14" s="1">
        <v>6.94975808469</v>
      </c>
      <c r="DF14" s="1">
        <v>6.7289108106500004</v>
      </c>
      <c r="DG14" s="1">
        <v>6.4197429453000003</v>
      </c>
      <c r="DH14" s="1">
        <v>11.488920200400001</v>
      </c>
      <c r="DI14" s="1">
        <v>6.2649994391400003</v>
      </c>
      <c r="DJ14" s="1">
        <v>66.803395359600003</v>
      </c>
      <c r="DK14" s="1">
        <v>26.9359390312</v>
      </c>
      <c r="DL14" s="1">
        <v>8.0976089458999994</v>
      </c>
      <c r="DM14" s="1">
        <v>6.9159964792500004</v>
      </c>
      <c r="DN14" s="1">
        <v>8.5894240214199993</v>
      </c>
      <c r="DO14" s="1">
        <v>7.7343219072</v>
      </c>
    </row>
    <row r="15" spans="1:119" s="1" customFormat="1">
      <c r="A15" s="1" t="s">
        <v>6</v>
      </c>
      <c r="B15" s="1">
        <v>2029</v>
      </c>
      <c r="C15" s="1">
        <v>9.7540484309799993</v>
      </c>
      <c r="D15" s="1">
        <v>6.0177248601800004</v>
      </c>
      <c r="E15" s="1">
        <v>6.3306736508999997</v>
      </c>
      <c r="F15" s="1">
        <v>19.799354654599998</v>
      </c>
      <c r="G15" s="1">
        <v>6.2044575757500002</v>
      </c>
      <c r="H15" s="1">
        <v>115.01769566900001</v>
      </c>
      <c r="I15" s="1">
        <v>7.0486403830200004</v>
      </c>
      <c r="J15" s="1">
        <v>14.8968184926</v>
      </c>
      <c r="K15" s="1">
        <v>9.74937516542</v>
      </c>
      <c r="L15" s="1">
        <v>20.532495986600001</v>
      </c>
      <c r="M15" s="1">
        <v>18.1694463085</v>
      </c>
      <c r="N15" s="1">
        <v>8.7261269858299997</v>
      </c>
      <c r="O15" s="1">
        <v>6.6468451821699999</v>
      </c>
      <c r="P15" s="1">
        <v>6.1711613955600004</v>
      </c>
      <c r="Q15" s="1">
        <v>6.92118951518</v>
      </c>
      <c r="R15" s="1">
        <v>9.7150276774099993</v>
      </c>
      <c r="S15" s="1">
        <v>12.926973698699999</v>
      </c>
      <c r="T15" s="1">
        <v>16.977858417</v>
      </c>
      <c r="U15" s="1">
        <v>7.5266193756100002</v>
      </c>
      <c r="V15" s="1">
        <v>174.97816411599999</v>
      </c>
      <c r="W15" s="1">
        <v>370.57513561600001</v>
      </c>
      <c r="X15" s="1">
        <v>7.7428126343699999</v>
      </c>
      <c r="Y15" s="1">
        <v>7.6766002894099996</v>
      </c>
      <c r="Z15" s="1">
        <v>8.4002053809399992</v>
      </c>
      <c r="AA15" s="1">
        <v>146.36729318100001</v>
      </c>
      <c r="AB15" s="1">
        <v>59.139782850499998</v>
      </c>
      <c r="AC15" s="1">
        <v>6.1025037046300001</v>
      </c>
      <c r="AD15" s="1">
        <v>6.0923126449599998</v>
      </c>
      <c r="AE15" s="1">
        <v>6.1354994821400002</v>
      </c>
      <c r="AF15" s="1">
        <v>7.1654838627000004</v>
      </c>
      <c r="AG15" s="1">
        <v>9.8544699036899992</v>
      </c>
      <c r="AH15" s="1">
        <v>156.449802667</v>
      </c>
      <c r="AI15" s="1">
        <v>39.597601076499998</v>
      </c>
      <c r="AJ15" s="1">
        <v>9.2491667668400002</v>
      </c>
      <c r="AK15" s="1">
        <v>6.3321736759</v>
      </c>
      <c r="AL15" s="1">
        <v>7.5251161807800004</v>
      </c>
      <c r="AM15" s="1">
        <v>6.1131685135899998</v>
      </c>
      <c r="AN15" s="1">
        <v>51.893196357299999</v>
      </c>
      <c r="AO15" s="1">
        <v>25.172636554699999</v>
      </c>
      <c r="AP15" s="1">
        <v>11.416630637500001</v>
      </c>
      <c r="AQ15" s="1">
        <v>6.9690079024199996</v>
      </c>
      <c r="AR15" s="1">
        <v>10.619662415000001</v>
      </c>
      <c r="AS15" s="1">
        <v>8.7667065116299998</v>
      </c>
      <c r="AT15" s="1">
        <v>6.3157803916499997</v>
      </c>
      <c r="AU15" s="1">
        <v>223.92842612199999</v>
      </c>
      <c r="AV15" s="1">
        <v>6.2743019005200003</v>
      </c>
      <c r="AW15" s="1">
        <v>193.37184419600001</v>
      </c>
      <c r="AX15" s="1">
        <v>7.8690183986899997</v>
      </c>
      <c r="AY15" s="1">
        <v>6.6912766949</v>
      </c>
      <c r="AZ15" s="1">
        <v>9.4350187692399992</v>
      </c>
      <c r="BA15" s="1">
        <v>106.188096141</v>
      </c>
      <c r="BB15" s="1">
        <v>11.6946606523</v>
      </c>
      <c r="BC15" s="1">
        <v>16.902224157100001</v>
      </c>
      <c r="BD15" s="1">
        <v>40.155012492499999</v>
      </c>
      <c r="BE15" s="1">
        <v>12.907935332599999</v>
      </c>
      <c r="BF15" s="1">
        <v>6.0861658953999997</v>
      </c>
      <c r="BG15" s="1">
        <v>6.0718157316800001</v>
      </c>
      <c r="BH15" s="1">
        <v>10.125339311699999</v>
      </c>
      <c r="BI15" s="1">
        <v>113.41856399300001</v>
      </c>
      <c r="BJ15" s="1">
        <v>6.5384943297399998</v>
      </c>
      <c r="BK15" s="1">
        <v>7.28047268073</v>
      </c>
      <c r="BL15" s="1">
        <v>18.036215666499999</v>
      </c>
      <c r="BM15" s="1">
        <v>6.4664462407299999</v>
      </c>
      <c r="BN15" s="1">
        <v>21.538068134300001</v>
      </c>
      <c r="BO15" s="1">
        <v>15.867745364299999</v>
      </c>
      <c r="BP15" s="1">
        <v>9.1961356197799997</v>
      </c>
      <c r="BQ15" s="1">
        <v>6.0022482331000004</v>
      </c>
      <c r="BR15" s="1">
        <v>8.3843074557400001</v>
      </c>
      <c r="BS15" s="1">
        <v>6.1282569734200001</v>
      </c>
      <c r="BT15" s="1">
        <v>10.243159933599999</v>
      </c>
      <c r="BU15" s="1">
        <v>7.3409865499200002</v>
      </c>
      <c r="BV15" s="1">
        <v>15.7054091337</v>
      </c>
      <c r="BW15" s="1">
        <v>13.9133437143</v>
      </c>
      <c r="BX15" s="1">
        <v>8.7372352770999999</v>
      </c>
      <c r="BY15" s="1">
        <v>58.493565286100001</v>
      </c>
      <c r="BZ15" s="1">
        <v>8.7835719517899999</v>
      </c>
      <c r="CA15" s="1">
        <v>7.3047790853399999</v>
      </c>
      <c r="CB15" s="1">
        <v>6.2922980984999999</v>
      </c>
      <c r="CC15" s="1">
        <v>10.4538772286</v>
      </c>
      <c r="CD15" s="1">
        <v>7.1464458017699997</v>
      </c>
      <c r="CE15" s="1">
        <v>370.117977118</v>
      </c>
      <c r="CF15" s="1">
        <v>8.65730865992</v>
      </c>
      <c r="CG15" s="1">
        <v>20.141090766800001</v>
      </c>
      <c r="CH15" s="1">
        <v>7.4277414407400002</v>
      </c>
      <c r="CI15" s="1">
        <v>8.2503933474199993</v>
      </c>
      <c r="CJ15" s="1">
        <v>6.8503014005900003</v>
      </c>
      <c r="CK15" s="1">
        <v>10.3225713655</v>
      </c>
      <c r="CL15" s="1">
        <v>10.275401713799999</v>
      </c>
      <c r="CM15" s="1">
        <v>7.20986990816</v>
      </c>
      <c r="CN15" s="1">
        <v>12.131825235999999</v>
      </c>
      <c r="CO15" s="1">
        <v>17.563681323099999</v>
      </c>
      <c r="CP15" s="1">
        <v>14.623654911999999</v>
      </c>
      <c r="CQ15" s="1">
        <v>10.1334366326</v>
      </c>
      <c r="CR15" s="1">
        <v>19.7938261177</v>
      </c>
      <c r="CS15" s="1">
        <v>6.1464747741299997</v>
      </c>
      <c r="CT15" s="1">
        <v>11.118486491900001</v>
      </c>
      <c r="CU15" s="1">
        <v>6.3000806988700004</v>
      </c>
      <c r="CV15" s="1">
        <v>31.663137757099999</v>
      </c>
      <c r="CW15" s="1">
        <v>7.9296734885899998</v>
      </c>
      <c r="CX15" s="1">
        <v>25.4419344533</v>
      </c>
      <c r="CY15" s="1">
        <v>18.798437381500001</v>
      </c>
      <c r="CZ15" s="1">
        <v>12.009002042700001</v>
      </c>
      <c r="DA15" s="1">
        <v>36.093518983199999</v>
      </c>
      <c r="DB15" s="1">
        <v>8.0321592090700005</v>
      </c>
      <c r="DC15" s="1">
        <v>14.8049302917</v>
      </c>
      <c r="DD15" s="1">
        <v>8.5568387780199995</v>
      </c>
      <c r="DE15" s="1">
        <v>6.0357534936099997</v>
      </c>
      <c r="DF15" s="1">
        <v>7.6633822173099997</v>
      </c>
      <c r="DG15" s="1">
        <v>6.0136773737800002</v>
      </c>
      <c r="DH15" s="1">
        <v>8.88354274846</v>
      </c>
      <c r="DI15" s="1">
        <v>7.8858617732400003</v>
      </c>
      <c r="DJ15" s="1">
        <v>465.56077820000002</v>
      </c>
      <c r="DK15" s="1">
        <v>29.898431164600002</v>
      </c>
      <c r="DL15" s="1">
        <v>11.435308474099999</v>
      </c>
      <c r="DM15" s="1">
        <v>6.0515624106199999</v>
      </c>
      <c r="DN15" s="1">
        <v>40.459336513700002</v>
      </c>
      <c r="DO15" s="1">
        <v>17.626076326700002</v>
      </c>
    </row>
    <row r="16" spans="1:119" s="1" customFormat="1">
      <c r="A16" s="1" t="s">
        <v>6</v>
      </c>
      <c r="B16" s="1">
        <v>2037</v>
      </c>
      <c r="C16" s="1">
        <v>7.1505872721800001</v>
      </c>
      <c r="D16" s="1">
        <v>6.0000468653499999</v>
      </c>
      <c r="E16" s="1">
        <v>6.7183866488700001</v>
      </c>
      <c r="F16" s="1">
        <v>201.61649138199999</v>
      </c>
      <c r="G16" s="1">
        <v>6.0246433806599997</v>
      </c>
      <c r="H16" s="1">
        <v>4935.7088863099998</v>
      </c>
      <c r="I16" s="1">
        <v>16.6481386723</v>
      </c>
      <c r="J16" s="1">
        <v>15.385195898999999</v>
      </c>
      <c r="K16" s="1">
        <v>8.4772910946700009</v>
      </c>
      <c r="L16" s="1">
        <v>7.7499763295799999</v>
      </c>
      <c r="M16" s="1">
        <v>10.1840758141</v>
      </c>
      <c r="N16" s="1">
        <v>6.3792988094699998</v>
      </c>
      <c r="O16" s="1">
        <v>6.1443672072900002</v>
      </c>
      <c r="P16" s="1">
        <v>7.9690594625899998</v>
      </c>
      <c r="Q16" s="1">
        <v>6.3505169441599998</v>
      </c>
      <c r="R16" s="1">
        <v>11.631692072</v>
      </c>
      <c r="S16" s="1">
        <v>9.9929701288399997</v>
      </c>
      <c r="T16" s="1">
        <v>163.08506324300001</v>
      </c>
      <c r="U16" s="1">
        <v>14.512158103899999</v>
      </c>
      <c r="V16" s="1">
        <v>115.03522509299999</v>
      </c>
      <c r="W16" s="1">
        <v>128.22192742600001</v>
      </c>
      <c r="X16" s="1">
        <v>6.3376307862900001</v>
      </c>
      <c r="Y16" s="1">
        <v>10.984975478499999</v>
      </c>
      <c r="Z16" s="1">
        <v>6.5976637355800003</v>
      </c>
      <c r="AA16" s="1">
        <v>25.286769870899999</v>
      </c>
      <c r="AB16" s="1">
        <v>697.39910215600003</v>
      </c>
      <c r="AC16" s="1">
        <v>6.24130796634</v>
      </c>
      <c r="AD16" s="1">
        <v>6.2795316700899999</v>
      </c>
      <c r="AE16" s="1">
        <v>6.0605327393600001</v>
      </c>
      <c r="AF16" s="1">
        <v>8.3257056731700008</v>
      </c>
      <c r="AG16" s="1">
        <v>12.414127992199999</v>
      </c>
      <c r="AH16" s="1">
        <v>2320.4565445600001</v>
      </c>
      <c r="AI16" s="1">
        <v>118.946291987</v>
      </c>
      <c r="AJ16" s="1">
        <v>7.8836578798700003</v>
      </c>
      <c r="AK16" s="1">
        <v>6.9310831544399996</v>
      </c>
      <c r="AL16" s="1">
        <v>6.4236176995100003</v>
      </c>
      <c r="AM16" s="1">
        <v>6.21427915683</v>
      </c>
      <c r="AN16" s="1">
        <v>55.771205696599999</v>
      </c>
      <c r="AO16" s="1">
        <v>731.77091474099996</v>
      </c>
      <c r="AP16" s="1">
        <v>23.588078983399999</v>
      </c>
      <c r="AQ16" s="1">
        <v>6.3203411918099999</v>
      </c>
      <c r="AR16" s="1">
        <v>7.2763372753200004</v>
      </c>
      <c r="AS16" s="1">
        <v>9.7065304331300002</v>
      </c>
      <c r="AT16" s="1">
        <v>6.95898533037</v>
      </c>
      <c r="AU16" s="1">
        <v>154.324124154</v>
      </c>
      <c r="AV16" s="1">
        <v>6.2591469508499999</v>
      </c>
      <c r="AW16" s="1">
        <v>76.995344207700001</v>
      </c>
      <c r="AX16" s="1">
        <v>6.0610239190500002</v>
      </c>
      <c r="AY16" s="1">
        <v>6.14978939473</v>
      </c>
      <c r="AZ16" s="1">
        <v>6.3814374082</v>
      </c>
      <c r="BA16" s="1">
        <v>170.72061877100001</v>
      </c>
      <c r="BB16" s="1">
        <v>6.85262322109</v>
      </c>
      <c r="BC16" s="1">
        <v>6.8233854352399996</v>
      </c>
      <c r="BD16" s="1">
        <v>14.841672594</v>
      </c>
      <c r="BE16" s="1">
        <v>10.365272445900001</v>
      </c>
      <c r="BF16" s="1">
        <v>6.0636191721500001</v>
      </c>
      <c r="BG16" s="1">
        <v>6.2008392080199997</v>
      </c>
      <c r="BH16" s="1">
        <v>6.0305348033300001</v>
      </c>
      <c r="BI16" s="1">
        <v>33.751940085800001</v>
      </c>
      <c r="BJ16" s="1">
        <v>6.3690426569999996</v>
      </c>
      <c r="BK16" s="1">
        <v>7.0158839036599998</v>
      </c>
      <c r="BL16" s="1">
        <v>21.457904062299999</v>
      </c>
      <c r="BM16" s="1">
        <v>6.0686254747400001</v>
      </c>
      <c r="BN16" s="1">
        <v>13.7866487985</v>
      </c>
      <c r="BO16" s="1">
        <v>20.808948805699998</v>
      </c>
      <c r="BP16" s="1">
        <v>7.8595077599499996</v>
      </c>
      <c r="BQ16" s="1">
        <v>6.0005516918800001</v>
      </c>
      <c r="BR16" s="1">
        <v>7.06257588188</v>
      </c>
      <c r="BS16" s="1">
        <v>6.5556844233699998</v>
      </c>
      <c r="BT16" s="1">
        <v>6.64578208974</v>
      </c>
      <c r="BU16" s="1">
        <v>6.1088638191399998</v>
      </c>
      <c r="BV16" s="1">
        <v>7.3124460707900001</v>
      </c>
      <c r="BW16" s="1">
        <v>203.300472283</v>
      </c>
      <c r="BX16" s="1">
        <v>8.6385689878199994</v>
      </c>
      <c r="BY16" s="1">
        <v>153.05513511000001</v>
      </c>
      <c r="BZ16" s="1">
        <v>15.873554778900001</v>
      </c>
      <c r="CA16" s="1">
        <v>6.4177161478300002</v>
      </c>
      <c r="CB16" s="1">
        <v>6.2116302793599996</v>
      </c>
      <c r="CC16" s="1">
        <v>19.5740527261</v>
      </c>
      <c r="CD16" s="1">
        <v>8.7691300266999992</v>
      </c>
      <c r="CE16" s="1">
        <v>502.25907228</v>
      </c>
      <c r="CF16" s="1">
        <v>6.52451956177</v>
      </c>
      <c r="CG16" s="1">
        <v>122.014768096</v>
      </c>
      <c r="CH16" s="1">
        <v>15.973383854</v>
      </c>
      <c r="CI16" s="1">
        <v>7.5658245609500003</v>
      </c>
      <c r="CJ16" s="1">
        <v>9.5006601384400007</v>
      </c>
      <c r="CK16" s="1">
        <v>83.115653635800001</v>
      </c>
      <c r="CL16" s="1">
        <v>13.465483646999999</v>
      </c>
      <c r="CM16" s="1">
        <v>6.2088896133800002</v>
      </c>
      <c r="CN16" s="1">
        <v>6.4324958716999996</v>
      </c>
      <c r="CO16" s="1">
        <v>17.190131685200001</v>
      </c>
      <c r="CP16" s="1">
        <v>18.683981250999999</v>
      </c>
      <c r="CQ16" s="1">
        <v>12.852372967899999</v>
      </c>
      <c r="CR16" s="1">
        <v>80.697729585100006</v>
      </c>
      <c r="CS16" s="1">
        <v>8.0553384666699994</v>
      </c>
      <c r="CT16" s="1">
        <v>6.52815359449</v>
      </c>
      <c r="CU16" s="1">
        <v>6.3736835116600004</v>
      </c>
      <c r="CV16" s="1">
        <v>10.0039365835</v>
      </c>
      <c r="CW16" s="1">
        <v>6.7331353168400003</v>
      </c>
      <c r="CX16" s="1">
        <v>6.54080398365</v>
      </c>
      <c r="CY16" s="1">
        <v>77.506879904399995</v>
      </c>
      <c r="CZ16" s="1">
        <v>21.8139270205</v>
      </c>
      <c r="DA16" s="1">
        <v>78.867625959400002</v>
      </c>
      <c r="DB16" s="1">
        <v>7.3271042941699998</v>
      </c>
      <c r="DC16" s="1">
        <v>8.2151484475899998</v>
      </c>
      <c r="DD16" s="1">
        <v>6.8543249376100004</v>
      </c>
      <c r="DE16" s="1">
        <v>6.0188591705899999</v>
      </c>
      <c r="DF16" s="1">
        <v>7.48459525104</v>
      </c>
      <c r="DG16" s="1">
        <v>6.0141233290500002</v>
      </c>
      <c r="DH16" s="1">
        <v>41.924602550099998</v>
      </c>
      <c r="DI16" s="1">
        <v>7.50673563411</v>
      </c>
      <c r="DJ16" s="1">
        <v>270.055678613</v>
      </c>
      <c r="DK16" s="1">
        <v>456.82321631899998</v>
      </c>
      <c r="DL16" s="1">
        <v>22.246763014199999</v>
      </c>
      <c r="DM16" s="1">
        <v>6.0015841699800001</v>
      </c>
      <c r="DN16" s="1">
        <v>7.1146121642800004</v>
      </c>
      <c r="DO16" s="1">
        <v>39.481066292500003</v>
      </c>
    </row>
    <row r="17" spans="1:119" s="1" customFormat="1">
      <c r="A17" s="1" t="s">
        <v>6</v>
      </c>
      <c r="B17" s="1">
        <v>2045</v>
      </c>
      <c r="C17" s="1">
        <v>7.4418315440800002</v>
      </c>
      <c r="D17" s="1">
        <v>6.00003158121</v>
      </c>
      <c r="E17" s="1">
        <v>6.1806019311</v>
      </c>
      <c r="F17" s="1">
        <v>193.54288629300001</v>
      </c>
      <c r="G17" s="1">
        <v>6.0103551515799998</v>
      </c>
      <c r="H17" s="1">
        <v>636.06446826900003</v>
      </c>
      <c r="I17" s="1">
        <v>6.5556323065399997</v>
      </c>
      <c r="J17" s="1">
        <v>13.226708841700001</v>
      </c>
      <c r="K17" s="1">
        <v>6.55997518702</v>
      </c>
      <c r="L17" s="1">
        <v>6.9762129968700002</v>
      </c>
      <c r="M17" s="1">
        <v>27.8067542223</v>
      </c>
      <c r="N17" s="1">
        <v>6.1376187280399996</v>
      </c>
      <c r="O17" s="1">
        <v>6.0352113533900003</v>
      </c>
      <c r="P17" s="1">
        <v>59.220798203299999</v>
      </c>
      <c r="Q17" s="1">
        <v>6.0213998928999999</v>
      </c>
      <c r="R17" s="1">
        <v>7.0793680017499998</v>
      </c>
      <c r="S17" s="1">
        <v>16.7006168355</v>
      </c>
      <c r="T17" s="1">
        <v>334.39718063999999</v>
      </c>
      <c r="U17" s="1">
        <v>149.678163568</v>
      </c>
      <c r="V17" s="1">
        <v>335.47249608800001</v>
      </c>
      <c r="W17" s="1">
        <v>64.570554501000004</v>
      </c>
      <c r="X17" s="1">
        <v>10.6572940235</v>
      </c>
      <c r="Y17" s="1">
        <v>16.7469050461</v>
      </c>
      <c r="Z17" s="1">
        <v>6.7839656323900002</v>
      </c>
      <c r="AA17" s="1">
        <v>7.2714892548199996</v>
      </c>
      <c r="AB17" s="1">
        <v>1790.54621763</v>
      </c>
      <c r="AC17" s="1">
        <v>6.0300914712999996</v>
      </c>
      <c r="AD17" s="1">
        <v>8.0367486841800009</v>
      </c>
      <c r="AE17" s="1">
        <v>6.1113569344299998</v>
      </c>
      <c r="AF17" s="1">
        <v>9.2507187235600004</v>
      </c>
      <c r="AG17" s="1">
        <v>47.620177015800003</v>
      </c>
      <c r="AH17" s="1">
        <v>704.53037692299995</v>
      </c>
      <c r="AI17" s="1">
        <v>196.229448932</v>
      </c>
      <c r="AJ17" s="1">
        <v>6.8998383212599999</v>
      </c>
      <c r="AK17" s="1">
        <v>6.2298453399099998</v>
      </c>
      <c r="AL17" s="1">
        <v>6.0822079725</v>
      </c>
      <c r="AM17" s="1">
        <v>6.10983210871</v>
      </c>
      <c r="AN17" s="1">
        <v>308.95694224200003</v>
      </c>
      <c r="AO17" s="1">
        <v>902.01847369500001</v>
      </c>
      <c r="AP17" s="1">
        <v>17.310905419499999</v>
      </c>
      <c r="AQ17" s="1">
        <v>6.4379447152599996</v>
      </c>
      <c r="AR17" s="1">
        <v>8.0116073125099998</v>
      </c>
      <c r="AS17" s="1">
        <v>8.5464764410700003</v>
      </c>
      <c r="AT17" s="1">
        <v>6.2709645593300003</v>
      </c>
      <c r="AU17" s="1">
        <v>101.855145353</v>
      </c>
      <c r="AV17" s="1">
        <v>6.2323854799599996</v>
      </c>
      <c r="AW17" s="1">
        <v>61.696380327500002</v>
      </c>
      <c r="AX17" s="1">
        <v>6.0480001046299998</v>
      </c>
      <c r="AY17" s="1">
        <v>6.0012435109300002</v>
      </c>
      <c r="AZ17" s="1">
        <v>6.2720742915000001</v>
      </c>
      <c r="BA17" s="1">
        <v>376.91908643900001</v>
      </c>
      <c r="BB17" s="1">
        <v>39.584751266399998</v>
      </c>
      <c r="BC17" s="1">
        <v>6.2960037953799999</v>
      </c>
      <c r="BD17" s="1">
        <v>9.8705227529100004</v>
      </c>
      <c r="BE17" s="1">
        <v>9.6502689881299997</v>
      </c>
      <c r="BF17" s="1">
        <v>6.1939975879700002</v>
      </c>
      <c r="BG17" s="1">
        <v>6.0863047469899998</v>
      </c>
      <c r="BH17" s="1">
        <v>6.18876833706</v>
      </c>
      <c r="BI17" s="1">
        <v>24.838173772600001</v>
      </c>
      <c r="BJ17" s="1">
        <v>6.4308884692400001</v>
      </c>
      <c r="BK17" s="1">
        <v>6.4134776875200004</v>
      </c>
      <c r="BL17" s="1">
        <v>7.6343516093700003</v>
      </c>
      <c r="BM17" s="1">
        <v>6.0140677888500003</v>
      </c>
      <c r="BN17" s="1">
        <v>12.535170860899999</v>
      </c>
      <c r="BO17" s="1">
        <v>192.97411812600001</v>
      </c>
      <c r="BP17" s="1">
        <v>8.0876410627199995</v>
      </c>
      <c r="BQ17" s="1">
        <v>6.0052562119199999</v>
      </c>
      <c r="BR17" s="1">
        <v>12.327764398199999</v>
      </c>
      <c r="BS17" s="1">
        <v>7.1756755018599998</v>
      </c>
      <c r="BT17" s="1">
        <v>6.3417701831200004</v>
      </c>
      <c r="BU17" s="1">
        <v>6.3558297906899996</v>
      </c>
      <c r="BV17" s="1">
        <v>6.7552105553399997</v>
      </c>
      <c r="BW17" s="1">
        <v>92.230966756399994</v>
      </c>
      <c r="BX17" s="1">
        <v>34.703636032799999</v>
      </c>
      <c r="BY17" s="1">
        <v>14.622865791600001</v>
      </c>
      <c r="BZ17" s="1">
        <v>8.4505103422500003</v>
      </c>
      <c r="CA17" s="1">
        <v>6.5837405753100002</v>
      </c>
      <c r="CB17" s="1">
        <v>6.2804785213100001</v>
      </c>
      <c r="CC17" s="1">
        <v>62.591404120699998</v>
      </c>
      <c r="CD17" s="1">
        <v>43.041027618699999</v>
      </c>
      <c r="CE17" s="1">
        <v>1307.23265704</v>
      </c>
      <c r="CF17" s="1">
        <v>7.5191910033399996</v>
      </c>
      <c r="CG17" s="1">
        <v>47.5510771533</v>
      </c>
      <c r="CH17" s="1">
        <v>13.6216953995</v>
      </c>
      <c r="CI17" s="1">
        <v>7.5729659464200001</v>
      </c>
      <c r="CJ17" s="1">
        <v>6.1541216029300001</v>
      </c>
      <c r="CK17" s="1">
        <v>287.96178179700001</v>
      </c>
      <c r="CL17" s="1">
        <v>17.6870586993</v>
      </c>
      <c r="CM17" s="1">
        <v>6.6231673501100001</v>
      </c>
      <c r="CN17" s="1">
        <v>6.07737436721</v>
      </c>
      <c r="CO17" s="1">
        <v>26.311554295499999</v>
      </c>
      <c r="CP17" s="1">
        <v>11.437116725999999</v>
      </c>
      <c r="CQ17" s="1">
        <v>7.2126410721100003</v>
      </c>
      <c r="CR17" s="1">
        <v>35.132085531599998</v>
      </c>
      <c r="CS17" s="1">
        <v>6.8752498406599996</v>
      </c>
      <c r="CT17" s="1">
        <v>6.1792231713400003</v>
      </c>
      <c r="CU17" s="1">
        <v>6.0286014678099997</v>
      </c>
      <c r="CV17" s="1">
        <v>10.327062565</v>
      </c>
      <c r="CW17" s="1">
        <v>6.2257801737899996</v>
      </c>
      <c r="CX17" s="1">
        <v>6.18180501369</v>
      </c>
      <c r="CY17" s="1">
        <v>348.91575286400001</v>
      </c>
      <c r="CZ17" s="1">
        <v>35.3297303258</v>
      </c>
      <c r="DA17" s="1">
        <v>416.57907672699997</v>
      </c>
      <c r="DB17" s="1">
        <v>11.970547397600001</v>
      </c>
      <c r="DC17" s="1">
        <v>8.3009414883399995</v>
      </c>
      <c r="DD17" s="1">
        <v>6.03206541561</v>
      </c>
      <c r="DE17" s="1">
        <v>6.0127302167999996</v>
      </c>
      <c r="DF17" s="1">
        <v>6.8156399573300002</v>
      </c>
      <c r="DG17" s="1">
        <v>6.0044646671999997</v>
      </c>
      <c r="DH17" s="1">
        <v>116.046346822</v>
      </c>
      <c r="DI17" s="1">
        <v>9.1127990752199999</v>
      </c>
      <c r="DJ17" s="1">
        <v>1697.18015683</v>
      </c>
      <c r="DK17" s="1">
        <v>243.31430639600001</v>
      </c>
      <c r="DL17" s="1">
        <v>38.118012054700003</v>
      </c>
      <c r="DM17" s="1">
        <v>6.0004056973699997</v>
      </c>
      <c r="DN17" s="1">
        <v>9.3920991681500006</v>
      </c>
      <c r="DO17" s="1">
        <v>662.68765130899999</v>
      </c>
    </row>
    <row r="18" spans="1:119">
      <c r="A18" t="s">
        <v>7</v>
      </c>
      <c r="B18">
        <v>2021</v>
      </c>
      <c r="C18">
        <v>18.792732204299998</v>
      </c>
      <c r="D18">
        <v>17.706047583299998</v>
      </c>
      <c r="E18">
        <v>21.581323596299999</v>
      </c>
      <c r="F18">
        <v>23.960219068299999</v>
      </c>
      <c r="G18">
        <v>20.555998405499999</v>
      </c>
      <c r="H18">
        <v>24.308119760499999</v>
      </c>
      <c r="I18">
        <v>22.9682357067</v>
      </c>
      <c r="J18">
        <v>19.439361801899999</v>
      </c>
      <c r="K18">
        <v>18.0232858482</v>
      </c>
      <c r="L18">
        <v>22.9586015862</v>
      </c>
      <c r="M18">
        <v>18.6727595188</v>
      </c>
      <c r="N18">
        <v>27.331803148199999</v>
      </c>
      <c r="O18">
        <v>19.1980992216</v>
      </c>
      <c r="P18">
        <v>19.056348103400001</v>
      </c>
      <c r="Q18">
        <v>20.5110806518</v>
      </c>
      <c r="R18">
        <v>19.175848436599999</v>
      </c>
      <c r="S18" s="2">
        <v>22.936180408999999</v>
      </c>
      <c r="T18" s="1">
        <v>25.983375518500001</v>
      </c>
      <c r="U18" s="2">
        <v>25.103116492000002</v>
      </c>
      <c r="V18" s="1">
        <v>49.995050990599999</v>
      </c>
      <c r="W18">
        <v>32.811165601500001</v>
      </c>
      <c r="X18">
        <v>19.9319896214</v>
      </c>
      <c r="Y18">
        <v>19.282846086300001</v>
      </c>
      <c r="Z18">
        <v>18.622914065500002</v>
      </c>
      <c r="AA18">
        <v>40.109944025700003</v>
      </c>
      <c r="AB18">
        <v>43.7136347657</v>
      </c>
      <c r="AC18">
        <v>17.989299750699999</v>
      </c>
      <c r="AD18">
        <v>18.000544404199999</v>
      </c>
      <c r="AE18">
        <v>18.256538001300001</v>
      </c>
      <c r="AF18">
        <v>18.132809716699999</v>
      </c>
      <c r="AG18">
        <v>21.272222040399999</v>
      </c>
      <c r="AH18">
        <v>25.390564807099999</v>
      </c>
      <c r="AI18">
        <v>70.826033842100003</v>
      </c>
      <c r="AJ18">
        <v>18.769066259100001</v>
      </c>
      <c r="AK18">
        <v>18.094553605400002</v>
      </c>
      <c r="AL18">
        <v>19.653120180799998</v>
      </c>
      <c r="AM18">
        <v>18.097538652200001</v>
      </c>
      <c r="AN18">
        <v>22.533310953299999</v>
      </c>
      <c r="AO18">
        <v>19.971968185600002</v>
      </c>
      <c r="AP18">
        <v>18.039531588399999</v>
      </c>
      <c r="AQ18">
        <v>20.8804870204</v>
      </c>
      <c r="AR18">
        <v>18.0001195782</v>
      </c>
      <c r="AS18">
        <v>18.0648453202</v>
      </c>
      <c r="AT18">
        <v>17.8583217013</v>
      </c>
      <c r="AU18">
        <v>24.686083177299999</v>
      </c>
      <c r="AV18">
        <v>17.884331080599999</v>
      </c>
      <c r="AW18">
        <v>69.747758984399994</v>
      </c>
      <c r="AX18">
        <v>18.0850602141</v>
      </c>
      <c r="AY18">
        <v>18.237403223000001</v>
      </c>
      <c r="AZ18">
        <v>26.071467577100002</v>
      </c>
      <c r="BA18">
        <v>32.993231322100002</v>
      </c>
      <c r="BB18">
        <v>20.8131894843</v>
      </c>
      <c r="BC18">
        <v>23.625526006699999</v>
      </c>
      <c r="BD18">
        <v>23.333835627999999</v>
      </c>
      <c r="BE18">
        <v>18.300132252699999</v>
      </c>
      <c r="BF18">
        <v>17.7252640908</v>
      </c>
      <c r="BG18">
        <v>18.557895846000001</v>
      </c>
      <c r="BH18">
        <v>24.661230200399999</v>
      </c>
      <c r="BI18">
        <v>29.140492823199999</v>
      </c>
      <c r="BJ18">
        <v>20.775496913800001</v>
      </c>
      <c r="BK18">
        <v>18.2711811707</v>
      </c>
      <c r="BL18">
        <v>25.141935485400001</v>
      </c>
      <c r="BM18">
        <v>18.210157707899999</v>
      </c>
      <c r="BN18">
        <v>22.692944155300001</v>
      </c>
      <c r="BO18">
        <v>27.541155721999999</v>
      </c>
      <c r="BP18">
        <v>17.809165869800001</v>
      </c>
      <c r="BQ18">
        <v>18.793269792899999</v>
      </c>
      <c r="BR18">
        <v>24.741820392099999</v>
      </c>
      <c r="BS18">
        <v>19.0280642281</v>
      </c>
      <c r="BT18">
        <v>18.586785919099999</v>
      </c>
      <c r="BU18">
        <v>21.882321344200001</v>
      </c>
      <c r="BV18">
        <v>21.445218572800002</v>
      </c>
      <c r="BW18">
        <v>28.8376080956</v>
      </c>
      <c r="BX18">
        <v>26.602964149999998</v>
      </c>
      <c r="BY18">
        <v>24.1984822131</v>
      </c>
      <c r="BZ18">
        <v>30.914724164799999</v>
      </c>
      <c r="CA18">
        <v>21.3090482265</v>
      </c>
      <c r="CB18">
        <v>18.298883636700001</v>
      </c>
      <c r="CC18">
        <v>28.526391633100001</v>
      </c>
      <c r="CD18">
        <v>19.2805363063</v>
      </c>
      <c r="CE18">
        <v>32.227601148300003</v>
      </c>
      <c r="CF18">
        <v>24.31867068</v>
      </c>
      <c r="CG18">
        <v>25.183749333200002</v>
      </c>
      <c r="CH18">
        <v>22.358662465999998</v>
      </c>
      <c r="CI18">
        <v>21.7422971389</v>
      </c>
      <c r="CJ18">
        <v>29.903490903400002</v>
      </c>
      <c r="CK18">
        <v>26.570445768599999</v>
      </c>
      <c r="CL18">
        <v>18.225954533300001</v>
      </c>
      <c r="CM18">
        <v>21.611645899900001</v>
      </c>
      <c r="CN18">
        <v>27.998074869700002</v>
      </c>
      <c r="CO18">
        <v>20.160805032999999</v>
      </c>
      <c r="CP18">
        <v>18.748124713599999</v>
      </c>
      <c r="CQ18">
        <v>18.191554480000001</v>
      </c>
      <c r="CR18">
        <v>20.520575186799999</v>
      </c>
      <c r="CS18">
        <v>18.1546404236</v>
      </c>
      <c r="CT18">
        <v>25.680751364300001</v>
      </c>
      <c r="CU18">
        <v>20.4468943448</v>
      </c>
      <c r="CV18">
        <v>22.849974347300002</v>
      </c>
      <c r="CW18">
        <v>19.4184993352</v>
      </c>
      <c r="CX18">
        <v>21.410720847</v>
      </c>
      <c r="CY18">
        <v>18.622201732400001</v>
      </c>
      <c r="CZ18">
        <v>25.177911881</v>
      </c>
      <c r="DA18">
        <v>46.275300874199999</v>
      </c>
      <c r="DB18">
        <v>21.5868382946</v>
      </c>
      <c r="DC18" s="1">
        <v>19.129492249799998</v>
      </c>
      <c r="DD18">
        <v>19.341307243399999</v>
      </c>
      <c r="DE18">
        <v>18.381465070600001</v>
      </c>
      <c r="DF18" s="1">
        <v>18.1974256755</v>
      </c>
      <c r="DG18" s="2">
        <v>17.939785787800002</v>
      </c>
      <c r="DH18">
        <v>22.164100167000001</v>
      </c>
      <c r="DI18">
        <v>17.8108328659</v>
      </c>
      <c r="DJ18">
        <v>68.259496132999999</v>
      </c>
      <c r="DK18">
        <v>35.036615859400001</v>
      </c>
      <c r="DL18">
        <v>19.338007454900001</v>
      </c>
      <c r="DM18">
        <v>18.353330399400001</v>
      </c>
      <c r="DN18">
        <v>19.7478533512</v>
      </c>
      <c r="DO18">
        <v>19.035268255999998</v>
      </c>
    </row>
    <row r="19" spans="1:119">
      <c r="A19" t="s">
        <v>7</v>
      </c>
      <c r="B19">
        <v>2029</v>
      </c>
      <c r="C19">
        <v>20.718373692499998</v>
      </c>
      <c r="D19">
        <v>17.604770716800001</v>
      </c>
      <c r="E19">
        <v>17.865561375799999</v>
      </c>
      <c r="F19">
        <v>29.089462212200001</v>
      </c>
      <c r="G19">
        <v>17.760381313100002</v>
      </c>
      <c r="H19">
        <v>108.438079724</v>
      </c>
      <c r="I19">
        <v>18.463866985799999</v>
      </c>
      <c r="J19">
        <v>25.004015410499999</v>
      </c>
      <c r="K19">
        <v>20.714479304499999</v>
      </c>
      <c r="L19">
        <v>29.700413322199999</v>
      </c>
      <c r="M19">
        <v>27.731205256999999</v>
      </c>
      <c r="N19">
        <v>19.8617724882</v>
      </c>
      <c r="O19">
        <v>18.129037651800001</v>
      </c>
      <c r="P19">
        <v>17.732634496300001</v>
      </c>
      <c r="Q19">
        <v>18.3576579293</v>
      </c>
      <c r="R19">
        <v>20.685856397799999</v>
      </c>
      <c r="S19" s="2">
        <v>23.362478082300001</v>
      </c>
      <c r="T19" s="1">
        <v>26.738215347499999</v>
      </c>
      <c r="U19" s="2">
        <v>18.862182813</v>
      </c>
      <c r="V19" s="1">
        <v>158.40513676399999</v>
      </c>
      <c r="W19">
        <v>321.40261301300001</v>
      </c>
      <c r="X19">
        <v>19.042343861999999</v>
      </c>
      <c r="Y19">
        <v>18.987166907799999</v>
      </c>
      <c r="Z19">
        <v>19.5901711508</v>
      </c>
      <c r="AA19">
        <v>134.562744318</v>
      </c>
      <c r="AB19">
        <v>61.873152375399997</v>
      </c>
      <c r="AC19">
        <v>17.675419753900002</v>
      </c>
      <c r="AD19">
        <v>17.666927204099999</v>
      </c>
      <c r="AE19">
        <v>17.702916235099998</v>
      </c>
      <c r="AF19">
        <v>18.561236552299999</v>
      </c>
      <c r="AG19">
        <v>20.8020582531</v>
      </c>
      <c r="AH19">
        <v>142.964835556</v>
      </c>
      <c r="AI19">
        <v>45.588000897100002</v>
      </c>
      <c r="AJ19">
        <v>20.297638972400001</v>
      </c>
      <c r="AK19">
        <v>17.866811396599999</v>
      </c>
      <c r="AL19">
        <v>18.8609301507</v>
      </c>
      <c r="AM19">
        <v>17.684307094699999</v>
      </c>
      <c r="AN19">
        <v>55.834330297699999</v>
      </c>
      <c r="AO19">
        <v>33.567197129</v>
      </c>
      <c r="AP19">
        <v>22.103858864599999</v>
      </c>
      <c r="AQ19">
        <v>18.3975065853</v>
      </c>
      <c r="AR19">
        <v>21.4397186791</v>
      </c>
      <c r="AS19">
        <v>19.895588759700001</v>
      </c>
      <c r="AT19">
        <v>17.853150326400002</v>
      </c>
      <c r="AU19">
        <v>199.197021769</v>
      </c>
      <c r="AV19">
        <v>17.818584917100001</v>
      </c>
      <c r="AW19">
        <v>173.73320349700001</v>
      </c>
      <c r="AX19">
        <v>19.147515332200001</v>
      </c>
      <c r="AY19">
        <v>18.166063912399999</v>
      </c>
      <c r="AZ19">
        <v>20.452515641000002</v>
      </c>
      <c r="BA19">
        <v>101.080080118</v>
      </c>
      <c r="BB19">
        <v>22.3355505436</v>
      </c>
      <c r="BC19">
        <v>26.675186797599999</v>
      </c>
      <c r="BD19">
        <v>46.052510410399996</v>
      </c>
      <c r="BE19">
        <v>23.346612777099999</v>
      </c>
      <c r="BF19">
        <v>17.661804912800001</v>
      </c>
      <c r="BG19">
        <v>17.6498464431</v>
      </c>
      <c r="BH19">
        <v>21.027782759699999</v>
      </c>
      <c r="BI19">
        <v>107.105469994</v>
      </c>
      <c r="BJ19">
        <v>18.0387452748</v>
      </c>
      <c r="BK19">
        <v>18.6570605673</v>
      </c>
      <c r="BL19">
        <v>27.620179722100001</v>
      </c>
      <c r="BM19">
        <v>17.9787052006</v>
      </c>
      <c r="BN19">
        <v>30.5383901119</v>
      </c>
      <c r="BO19">
        <v>25.813121137</v>
      </c>
      <c r="BP19">
        <v>20.253446349800001</v>
      </c>
      <c r="BQ19">
        <v>17.591873527600001</v>
      </c>
      <c r="BR19">
        <v>19.576922879800001</v>
      </c>
      <c r="BS19">
        <v>17.6968808112</v>
      </c>
      <c r="BT19">
        <v>21.125966611399999</v>
      </c>
      <c r="BU19">
        <v>18.707488791599999</v>
      </c>
      <c r="BV19">
        <v>25.677840944700002</v>
      </c>
      <c r="BW19">
        <v>24.184453095199999</v>
      </c>
      <c r="BX19">
        <v>19.871029397600001</v>
      </c>
      <c r="BY19">
        <v>61.334637738399998</v>
      </c>
      <c r="BZ19">
        <v>19.909643293199998</v>
      </c>
      <c r="CA19">
        <v>18.6773159044</v>
      </c>
      <c r="CB19">
        <v>17.8335817488</v>
      </c>
      <c r="CC19">
        <v>21.3015643572</v>
      </c>
      <c r="CD19">
        <v>18.5453715015</v>
      </c>
      <c r="CE19">
        <v>321.02164759800002</v>
      </c>
      <c r="CF19">
        <v>19.8044238833</v>
      </c>
      <c r="CG19">
        <v>29.374242305700001</v>
      </c>
      <c r="CH19">
        <v>18.779784534000001</v>
      </c>
      <c r="CI19">
        <v>19.465327789500002</v>
      </c>
      <c r="CJ19">
        <v>18.298584500499999</v>
      </c>
      <c r="CK19">
        <v>21.1921428046</v>
      </c>
      <c r="CL19">
        <v>21.152834761499999</v>
      </c>
      <c r="CM19">
        <v>18.598224923499998</v>
      </c>
      <c r="CN19">
        <v>22.699854363299998</v>
      </c>
      <c r="CO19">
        <v>27.226401102600001</v>
      </c>
      <c r="CP19">
        <v>24.776379093300001</v>
      </c>
      <c r="CQ19">
        <v>21.034530527200001</v>
      </c>
      <c r="CR19">
        <v>29.0848550981</v>
      </c>
      <c r="CS19">
        <v>17.7120623118</v>
      </c>
      <c r="CT19">
        <v>21.855405409900001</v>
      </c>
      <c r="CU19">
        <v>17.840067249099999</v>
      </c>
      <c r="CV19">
        <v>38.975948130900001</v>
      </c>
      <c r="CW19">
        <v>19.1980612405</v>
      </c>
      <c r="CX19">
        <v>33.791612044499999</v>
      </c>
      <c r="CY19">
        <v>28.255364484600001</v>
      </c>
      <c r="CZ19">
        <v>22.597501702300001</v>
      </c>
      <c r="DA19">
        <v>42.667932485999998</v>
      </c>
      <c r="DB19">
        <v>19.283466007600001</v>
      </c>
      <c r="DC19" s="1">
        <v>24.927441909799999</v>
      </c>
      <c r="DD19">
        <v>19.7206989817</v>
      </c>
      <c r="DE19">
        <v>17.619794578</v>
      </c>
      <c r="DF19" s="1">
        <v>18.976151847800001</v>
      </c>
      <c r="DG19" s="2">
        <v>17.6013978115</v>
      </c>
      <c r="DH19">
        <v>19.992952290400002</v>
      </c>
      <c r="DI19">
        <v>19.161551477700002</v>
      </c>
      <c r="DJ19">
        <v>400.55731516700001</v>
      </c>
      <c r="DK19">
        <v>37.505359303900001</v>
      </c>
      <c r="DL19">
        <v>22.119423728400001</v>
      </c>
      <c r="DM19">
        <v>17.632968675499999</v>
      </c>
      <c r="DN19">
        <v>46.306113761399999</v>
      </c>
      <c r="DO19">
        <v>27.278396938899999</v>
      </c>
    </row>
    <row r="20" spans="1:119">
      <c r="A20" t="s">
        <v>7</v>
      </c>
      <c r="B20">
        <v>2037</v>
      </c>
      <c r="C20">
        <v>18.548822726800001</v>
      </c>
      <c r="D20">
        <v>17.5900390545</v>
      </c>
      <c r="E20">
        <v>18.188655540700001</v>
      </c>
      <c r="F20">
        <v>180.603742818</v>
      </c>
      <c r="G20">
        <v>17.6105361505</v>
      </c>
      <c r="H20">
        <v>4125.6807385900001</v>
      </c>
      <c r="I20">
        <v>26.463448893599999</v>
      </c>
      <c r="J20">
        <v>25.410996582500001</v>
      </c>
      <c r="K20">
        <v>19.6544092456</v>
      </c>
      <c r="L20">
        <v>19.048313608000001</v>
      </c>
      <c r="M20">
        <v>21.076729845100001</v>
      </c>
      <c r="N20">
        <v>17.906082341200001</v>
      </c>
      <c r="O20">
        <v>17.710306006100001</v>
      </c>
      <c r="P20">
        <v>19.230882885500002</v>
      </c>
      <c r="Q20">
        <v>17.882097453499998</v>
      </c>
      <c r="R20">
        <v>22.283076726699999</v>
      </c>
      <c r="S20" s="2">
        <v>20.917475107400001</v>
      </c>
      <c r="T20" s="1">
        <v>148.49421936900001</v>
      </c>
      <c r="U20" s="2">
        <v>24.683465086599998</v>
      </c>
      <c r="V20" s="1">
        <v>108.452687578</v>
      </c>
      <c r="W20">
        <v>119.44160618799999</v>
      </c>
      <c r="X20">
        <v>17.871358988600001</v>
      </c>
      <c r="Y20">
        <v>21.7441462321</v>
      </c>
      <c r="Z20">
        <v>18.088053113000001</v>
      </c>
      <c r="AA20">
        <v>33.662308225799997</v>
      </c>
      <c r="AB20">
        <v>593.75591846299994</v>
      </c>
      <c r="AC20">
        <v>17.791089972000002</v>
      </c>
      <c r="AD20">
        <v>17.8229430584</v>
      </c>
      <c r="AE20">
        <v>17.6404439495</v>
      </c>
      <c r="AF20">
        <v>19.528088060999998</v>
      </c>
      <c r="AG20">
        <v>22.935106660199999</v>
      </c>
      <c r="AH20">
        <v>1946.3037871399999</v>
      </c>
      <c r="AI20">
        <v>111.71190999</v>
      </c>
      <c r="AJ20">
        <v>19.159714899899999</v>
      </c>
      <c r="AK20">
        <v>18.365902628699999</v>
      </c>
      <c r="AL20">
        <v>17.9430147496</v>
      </c>
      <c r="AM20">
        <v>17.768565964</v>
      </c>
      <c r="AN20">
        <v>59.066004747199997</v>
      </c>
      <c r="AO20">
        <v>622.39909561800005</v>
      </c>
      <c r="AP20">
        <v>32.246732486200003</v>
      </c>
      <c r="AQ20">
        <v>17.856950993200002</v>
      </c>
      <c r="AR20">
        <v>18.6536143961</v>
      </c>
      <c r="AS20">
        <v>20.678775360900001</v>
      </c>
      <c r="AT20">
        <v>18.389154441999999</v>
      </c>
      <c r="AU20">
        <v>141.193436795</v>
      </c>
      <c r="AV20">
        <v>17.805955792399999</v>
      </c>
      <c r="AW20">
        <v>76.752786839799995</v>
      </c>
      <c r="AX20">
        <v>17.640853265899999</v>
      </c>
      <c r="AY20">
        <v>17.714824495599998</v>
      </c>
      <c r="AZ20">
        <v>17.907864506799999</v>
      </c>
      <c r="BA20">
        <v>154.857182309</v>
      </c>
      <c r="BB20">
        <v>18.3005193509</v>
      </c>
      <c r="BC20">
        <v>18.276154529399999</v>
      </c>
      <c r="BD20">
        <v>24.958060495000002</v>
      </c>
      <c r="BE20">
        <v>21.227727038299999</v>
      </c>
      <c r="BF20">
        <v>17.643015976800001</v>
      </c>
      <c r="BG20">
        <v>17.7573660067</v>
      </c>
      <c r="BH20">
        <v>17.6154456694</v>
      </c>
      <c r="BI20">
        <v>40.716616738200003</v>
      </c>
      <c r="BJ20">
        <v>17.897535547499999</v>
      </c>
      <c r="BK20">
        <v>18.436569919699998</v>
      </c>
      <c r="BL20">
        <v>30.471586718600001</v>
      </c>
      <c r="BM20">
        <v>17.647187895599998</v>
      </c>
      <c r="BN20">
        <v>24.078873998799999</v>
      </c>
      <c r="BO20">
        <v>29.9307906714</v>
      </c>
      <c r="BP20">
        <v>19.1395898</v>
      </c>
      <c r="BQ20">
        <v>17.5904597432</v>
      </c>
      <c r="BR20">
        <v>18.4754799016</v>
      </c>
      <c r="BS20">
        <v>18.053070352799999</v>
      </c>
      <c r="BT20">
        <v>18.1281517414</v>
      </c>
      <c r="BU20">
        <v>17.680719849300001</v>
      </c>
      <c r="BV20">
        <v>18.683705059000001</v>
      </c>
      <c r="BW20">
        <v>182.007060236</v>
      </c>
      <c r="BX20">
        <v>19.788807489900002</v>
      </c>
      <c r="BY20">
        <v>140.13594592499999</v>
      </c>
      <c r="BZ20">
        <v>25.817962315700001</v>
      </c>
      <c r="CA20">
        <v>17.938096789900001</v>
      </c>
      <c r="CB20">
        <v>17.766358566099999</v>
      </c>
      <c r="CC20">
        <v>28.9017106051</v>
      </c>
      <c r="CD20">
        <v>19.897608355599999</v>
      </c>
      <c r="CE20">
        <v>431.13922689999998</v>
      </c>
      <c r="CF20">
        <v>18.027099634799999</v>
      </c>
      <c r="CG20">
        <v>114.268973413</v>
      </c>
      <c r="CH20">
        <v>25.901153211699999</v>
      </c>
      <c r="CI20">
        <v>18.8948538008</v>
      </c>
      <c r="CJ20">
        <v>20.507216782</v>
      </c>
      <c r="CK20">
        <v>81.853044696500007</v>
      </c>
      <c r="CL20">
        <v>23.811236372500002</v>
      </c>
      <c r="CM20">
        <v>17.7640746778</v>
      </c>
      <c r="CN20">
        <v>17.950413226399998</v>
      </c>
      <c r="CO20">
        <v>26.915109737600002</v>
      </c>
      <c r="CP20">
        <v>28.159984375899999</v>
      </c>
      <c r="CQ20">
        <v>23.300310806599999</v>
      </c>
      <c r="CR20">
        <v>79.838107987599997</v>
      </c>
      <c r="CS20">
        <v>19.302782055600002</v>
      </c>
      <c r="CT20">
        <v>18.030127995400001</v>
      </c>
      <c r="CU20">
        <v>17.901402926399999</v>
      </c>
      <c r="CV20">
        <v>20.9266138196</v>
      </c>
      <c r="CW20">
        <v>18.200946097399999</v>
      </c>
      <c r="CX20">
        <v>18.040669986400001</v>
      </c>
      <c r="CY20">
        <v>77.179066586999994</v>
      </c>
      <c r="CZ20">
        <v>30.768272517100002</v>
      </c>
      <c r="DA20">
        <v>78.313021632800002</v>
      </c>
      <c r="DB20">
        <v>18.695920245100002</v>
      </c>
      <c r="DC20" s="1">
        <v>19.4359570397</v>
      </c>
      <c r="DD20">
        <v>18.301937448</v>
      </c>
      <c r="DE20">
        <v>17.605715975500001</v>
      </c>
      <c r="DF20" s="1">
        <v>18.8271627092</v>
      </c>
      <c r="DG20" s="2">
        <v>17.6017694409</v>
      </c>
      <c r="DH20">
        <v>47.527168791699999</v>
      </c>
      <c r="DI20">
        <v>18.845613028399999</v>
      </c>
      <c r="DJ20">
        <v>237.63639884400001</v>
      </c>
      <c r="DK20">
        <v>393.27601359900001</v>
      </c>
      <c r="DL20">
        <v>31.1289691785</v>
      </c>
      <c r="DM20">
        <v>17.591320141600001</v>
      </c>
      <c r="DN20">
        <v>18.5188434702</v>
      </c>
      <c r="DO20">
        <v>45.490888577</v>
      </c>
    </row>
    <row r="21" spans="1:119">
      <c r="A21" t="s">
        <v>7</v>
      </c>
      <c r="B21">
        <v>2045</v>
      </c>
      <c r="C21">
        <v>18.791526286700002</v>
      </c>
      <c r="D21">
        <v>17.590026317700001</v>
      </c>
      <c r="E21">
        <v>17.740501609199999</v>
      </c>
      <c r="F21">
        <v>173.87573857800001</v>
      </c>
      <c r="G21">
        <v>17.598629292999998</v>
      </c>
      <c r="H21">
        <v>542.64372355700004</v>
      </c>
      <c r="I21">
        <v>18.053026922099999</v>
      </c>
      <c r="J21">
        <v>23.6122573681</v>
      </c>
      <c r="K21">
        <v>18.0566459892</v>
      </c>
      <c r="L21">
        <v>18.4035108307</v>
      </c>
      <c r="M21">
        <v>35.762295185299998</v>
      </c>
      <c r="N21">
        <v>17.7046822734</v>
      </c>
      <c r="O21">
        <v>17.6193427945</v>
      </c>
      <c r="P21">
        <v>61.940665169399999</v>
      </c>
      <c r="Q21">
        <v>17.6078332441</v>
      </c>
      <c r="R21">
        <v>18.4894733348</v>
      </c>
      <c r="S21" s="2">
        <v>26.507180696199999</v>
      </c>
      <c r="T21" s="1">
        <v>291.2543172</v>
      </c>
      <c r="U21" s="2">
        <v>137.32180297400001</v>
      </c>
      <c r="V21" s="1">
        <v>292.15041340699997</v>
      </c>
      <c r="W21">
        <v>66.398795417499997</v>
      </c>
      <c r="X21">
        <v>21.471078352900001</v>
      </c>
      <c r="Y21">
        <v>26.5457542051</v>
      </c>
      <c r="Z21">
        <v>18.243304693700001</v>
      </c>
      <c r="AA21">
        <v>18.649574379000001</v>
      </c>
      <c r="AB21">
        <v>1504.7118480199999</v>
      </c>
      <c r="AC21">
        <v>17.615076226100001</v>
      </c>
      <c r="AD21">
        <v>19.287290570100001</v>
      </c>
      <c r="AE21">
        <v>17.682797445399999</v>
      </c>
      <c r="AF21">
        <v>20.298932269600002</v>
      </c>
      <c r="AG21">
        <v>52.2734808465</v>
      </c>
      <c r="AH21">
        <v>599.69864743599999</v>
      </c>
      <c r="AI21">
        <v>176.114540777</v>
      </c>
      <c r="AJ21">
        <v>18.339865267699999</v>
      </c>
      <c r="AK21">
        <v>17.781537783299999</v>
      </c>
      <c r="AL21">
        <v>17.658506643700001</v>
      </c>
      <c r="AM21">
        <v>17.681526757299999</v>
      </c>
      <c r="AN21">
        <v>270.05411853499999</v>
      </c>
      <c r="AO21">
        <v>764.27206141199997</v>
      </c>
      <c r="AP21">
        <v>27.015754516299999</v>
      </c>
      <c r="AQ21">
        <v>17.954953929399998</v>
      </c>
      <c r="AR21">
        <v>19.2663394271</v>
      </c>
      <c r="AS21">
        <v>19.7120637009</v>
      </c>
      <c r="AT21">
        <v>17.815803799400001</v>
      </c>
      <c r="AU21">
        <v>97.469287794500005</v>
      </c>
      <c r="AV21">
        <v>17.783654566599999</v>
      </c>
      <c r="AW21">
        <v>64.003650272900003</v>
      </c>
      <c r="AX21">
        <v>17.630000087199999</v>
      </c>
      <c r="AY21">
        <v>17.591036259100001</v>
      </c>
      <c r="AZ21">
        <v>17.816728576300001</v>
      </c>
      <c r="BA21">
        <v>326.68923869899999</v>
      </c>
      <c r="BB21">
        <v>45.577292722000003</v>
      </c>
      <c r="BC21">
        <v>17.8366698295</v>
      </c>
      <c r="BD21">
        <v>20.815435627399999</v>
      </c>
      <c r="BE21">
        <v>20.631890823399999</v>
      </c>
      <c r="BF21">
        <v>17.751664656599999</v>
      </c>
      <c r="BG21">
        <v>17.661920622499999</v>
      </c>
      <c r="BH21">
        <v>17.747306947599998</v>
      </c>
      <c r="BI21">
        <v>33.288478143799999</v>
      </c>
      <c r="BJ21">
        <v>17.949073724400002</v>
      </c>
      <c r="BK21">
        <v>17.934564739599999</v>
      </c>
      <c r="BL21">
        <v>18.951959674499999</v>
      </c>
      <c r="BM21">
        <v>17.601723157399999</v>
      </c>
      <c r="BN21">
        <v>23.035975717399999</v>
      </c>
      <c r="BO21">
        <v>173.40176510500001</v>
      </c>
      <c r="BP21">
        <v>19.329700885600001</v>
      </c>
      <c r="BQ21">
        <v>17.594380176600001</v>
      </c>
      <c r="BR21">
        <v>22.8631369985</v>
      </c>
      <c r="BS21">
        <v>18.569729584899999</v>
      </c>
      <c r="BT21">
        <v>17.874808485900001</v>
      </c>
      <c r="BU21">
        <v>17.886524825599999</v>
      </c>
      <c r="BV21">
        <v>18.219342129499999</v>
      </c>
      <c r="BW21">
        <v>89.449138963699994</v>
      </c>
      <c r="BX21">
        <v>41.509696693999999</v>
      </c>
      <c r="BY21">
        <v>24.775721492999999</v>
      </c>
      <c r="BZ21">
        <v>19.632091951900001</v>
      </c>
      <c r="CA21">
        <v>18.076450479399998</v>
      </c>
      <c r="CB21">
        <v>17.823732101099999</v>
      </c>
      <c r="CC21">
        <v>64.749503433900003</v>
      </c>
      <c r="CD21">
        <v>48.457523015600003</v>
      </c>
      <c r="CE21">
        <v>1101.95054753</v>
      </c>
      <c r="CF21">
        <v>18.855992502799999</v>
      </c>
      <c r="CG21">
        <v>52.215897627700002</v>
      </c>
      <c r="CH21">
        <v>23.941412832899999</v>
      </c>
      <c r="CI21">
        <v>18.900804955400002</v>
      </c>
      <c r="CJ21">
        <v>17.718434669099999</v>
      </c>
      <c r="CK21">
        <v>252.558151498</v>
      </c>
      <c r="CL21">
        <v>27.3292155828</v>
      </c>
      <c r="CM21">
        <v>18.109306125100002</v>
      </c>
      <c r="CN21">
        <v>17.654478639299999</v>
      </c>
      <c r="CO21">
        <v>34.516295246299997</v>
      </c>
      <c r="CP21">
        <v>22.120930605000002</v>
      </c>
      <c r="CQ21">
        <v>18.600534226800001</v>
      </c>
      <c r="CR21">
        <v>41.866737942999997</v>
      </c>
      <c r="CS21">
        <v>18.319374867200001</v>
      </c>
      <c r="CT21">
        <v>17.7393526428</v>
      </c>
      <c r="CU21">
        <v>17.613834556499999</v>
      </c>
      <c r="CV21">
        <v>21.1958854708</v>
      </c>
      <c r="CW21">
        <v>17.778150144800001</v>
      </c>
      <c r="CX21">
        <v>17.741504178100001</v>
      </c>
      <c r="CY21">
        <v>303.35312738699997</v>
      </c>
      <c r="CZ21">
        <v>42.031441938199997</v>
      </c>
      <c r="DA21">
        <v>359.73923060599998</v>
      </c>
      <c r="DB21">
        <v>22.565456164699999</v>
      </c>
      <c r="DC21" s="1">
        <v>19.5074512403</v>
      </c>
      <c r="DD21">
        <v>17.616721179700001</v>
      </c>
      <c r="DE21">
        <v>17.600608514000001</v>
      </c>
      <c r="DF21" s="1">
        <v>18.269699964400001</v>
      </c>
      <c r="DG21" s="2">
        <v>17.593720556000001</v>
      </c>
      <c r="DH21">
        <v>109.29528901800001</v>
      </c>
      <c r="DI21">
        <v>20.183999229400001</v>
      </c>
      <c r="DJ21">
        <v>1426.90679735</v>
      </c>
      <c r="DK21">
        <v>215.35192199700001</v>
      </c>
      <c r="DL21">
        <v>44.355010045500002</v>
      </c>
      <c r="DM21">
        <v>17.590338081100001</v>
      </c>
      <c r="DN21">
        <v>20.4167493068</v>
      </c>
      <c r="DO21">
        <v>564.82970942500003</v>
      </c>
    </row>
    <row r="22" spans="1:119">
      <c r="A22" t="s">
        <v>8</v>
      </c>
      <c r="B22">
        <v>2021</v>
      </c>
      <c r="C22">
        <v>40.441662490799999</v>
      </c>
      <c r="D22">
        <v>29.9858051553</v>
      </c>
      <c r="E22">
        <v>61.401188706699998</v>
      </c>
      <c r="F22">
        <v>27.612600054000001</v>
      </c>
      <c r="G22">
        <v>19.599104587700001</v>
      </c>
      <c r="H22">
        <v>14.423318161999999</v>
      </c>
      <c r="I22">
        <v>22.406369223399999</v>
      </c>
      <c r="J22">
        <v>36.601939268400002</v>
      </c>
      <c r="K22">
        <v>21.8558960467</v>
      </c>
      <c r="L22">
        <v>37.461380495999997</v>
      </c>
      <c r="M22">
        <v>36.737430837200002</v>
      </c>
      <c r="N22">
        <v>15.0950495188</v>
      </c>
      <c r="O22">
        <v>18.132198325899999</v>
      </c>
      <c r="P22">
        <v>20.6753550888</v>
      </c>
      <c r="Q22">
        <v>26.562590491800002</v>
      </c>
      <c r="R22">
        <v>26.076098350799999</v>
      </c>
      <c r="S22" s="2">
        <v>16.183924324300001</v>
      </c>
      <c r="T22" s="1">
        <v>10.406648800599999</v>
      </c>
      <c r="U22" s="2">
        <v>28.699764037400001</v>
      </c>
      <c r="V22" s="1">
        <v>22.326695815200001</v>
      </c>
      <c r="W22">
        <v>98.694507290800004</v>
      </c>
      <c r="X22">
        <v>22.43037327</v>
      </c>
      <c r="Y22">
        <v>24.2659036001</v>
      </c>
      <c r="Z22">
        <v>79.489544402099995</v>
      </c>
      <c r="AA22">
        <v>19.866827280199999</v>
      </c>
      <c r="AB22">
        <v>24.602290637199999</v>
      </c>
      <c r="AC22">
        <v>14.7723408566</v>
      </c>
      <c r="AD22">
        <v>10.641694728699999</v>
      </c>
      <c r="AE22">
        <v>19.6514701706</v>
      </c>
      <c r="AF22">
        <v>20.207246103900001</v>
      </c>
      <c r="AG22">
        <v>13.6912293499</v>
      </c>
      <c r="AH22">
        <v>34.669134279300003</v>
      </c>
      <c r="AI22">
        <v>31.520080792600002</v>
      </c>
      <c r="AJ22">
        <v>62.469705576800003</v>
      </c>
      <c r="AK22">
        <v>8.1903940404599993</v>
      </c>
      <c r="AL22">
        <v>23.6527118158</v>
      </c>
      <c r="AM22">
        <v>47.722911486100003</v>
      </c>
      <c r="AN22">
        <v>50.751103502399999</v>
      </c>
      <c r="AO22">
        <v>36.7496434902</v>
      </c>
      <c r="AP22">
        <v>10.4797946162</v>
      </c>
      <c r="AQ22">
        <v>19.5907648602</v>
      </c>
      <c r="AR22">
        <v>25.698848894800001</v>
      </c>
      <c r="AS22">
        <v>57.294700593000002</v>
      </c>
      <c r="AT22">
        <v>41.941664494199998</v>
      </c>
      <c r="AU22">
        <v>16.4061731641</v>
      </c>
      <c r="AV22">
        <v>31.4166849701</v>
      </c>
      <c r="AW22">
        <v>35.972430012499998</v>
      </c>
      <c r="AX22">
        <v>29.554411997399999</v>
      </c>
      <c r="AY22">
        <v>9.5130888861400003</v>
      </c>
      <c r="AZ22">
        <v>25.1707257584</v>
      </c>
      <c r="BA22">
        <v>23.616412837799999</v>
      </c>
      <c r="BB22">
        <v>12.8384920111</v>
      </c>
      <c r="BC22">
        <v>51.686575197899998</v>
      </c>
      <c r="BD22">
        <v>82.206517204500003</v>
      </c>
      <c r="BE22">
        <v>37.979584894399999</v>
      </c>
      <c r="BF22">
        <v>18.058854733099999</v>
      </c>
      <c r="BG22">
        <v>17.582528099800001</v>
      </c>
      <c r="BH22">
        <v>28.559966228299999</v>
      </c>
      <c r="BI22">
        <v>31.283096799100001</v>
      </c>
      <c r="BJ22">
        <v>26.521949042599999</v>
      </c>
      <c r="BK22">
        <v>31.496940232899998</v>
      </c>
      <c r="BL22">
        <v>16.272589830499999</v>
      </c>
      <c r="BM22">
        <v>17.1478485992</v>
      </c>
      <c r="BN22">
        <v>22.457708895500001</v>
      </c>
      <c r="BO22">
        <v>21.790035082500001</v>
      </c>
      <c r="BP22">
        <v>18.4589516516</v>
      </c>
      <c r="BQ22">
        <v>15.7312418975</v>
      </c>
      <c r="BR22">
        <v>19.036257412099999</v>
      </c>
      <c r="BS22">
        <v>21.263302546599999</v>
      </c>
      <c r="BT22">
        <v>24.7394340914</v>
      </c>
      <c r="BU22">
        <v>25.759486908900001</v>
      </c>
      <c r="BV22">
        <v>19.367964166699998</v>
      </c>
      <c r="BW22">
        <v>34.775290067599997</v>
      </c>
      <c r="BX22">
        <v>42.151595889699998</v>
      </c>
      <c r="BY22">
        <v>9.5643432969099997</v>
      </c>
      <c r="BZ22">
        <v>37.971954698200001</v>
      </c>
      <c r="CA22">
        <v>27.442766132199999</v>
      </c>
      <c r="CB22">
        <v>52.087476777799999</v>
      </c>
      <c r="CC22">
        <v>14.170572158800001</v>
      </c>
      <c r="CD22">
        <v>20.818739323100001</v>
      </c>
      <c r="CE22">
        <v>49.141610848900001</v>
      </c>
      <c r="CF22">
        <v>14.410606207000001</v>
      </c>
      <c r="CG22">
        <v>17.024345090600001</v>
      </c>
      <c r="CH22">
        <v>21.998666391899999</v>
      </c>
      <c r="CI22">
        <v>37.407098262200002</v>
      </c>
      <c r="CJ22">
        <v>26.501146122200002</v>
      </c>
      <c r="CK22">
        <v>19.0877247938</v>
      </c>
      <c r="CL22">
        <v>20.926652975300001</v>
      </c>
      <c r="CM22">
        <v>43.871127019699998</v>
      </c>
      <c r="CN22">
        <v>54.234649447899997</v>
      </c>
      <c r="CO22">
        <v>21.959421773799999</v>
      </c>
      <c r="CP22">
        <v>32.7764164747</v>
      </c>
      <c r="CQ22">
        <v>24.9246889498</v>
      </c>
      <c r="CR22">
        <v>17.238798685300001</v>
      </c>
      <c r="CS22">
        <v>19.425206470900001</v>
      </c>
      <c r="CT22">
        <v>15.913655587399999</v>
      </c>
      <c r="CU22">
        <v>46.3263128834</v>
      </c>
      <c r="CV22">
        <v>61.543259542999998</v>
      </c>
      <c r="CW22">
        <v>31.8884471569</v>
      </c>
      <c r="CX22">
        <v>67.8600060391</v>
      </c>
      <c r="CY22">
        <v>13.1595851317</v>
      </c>
      <c r="CZ22">
        <v>44.457956904299998</v>
      </c>
      <c r="DA22">
        <v>21.9854974261</v>
      </c>
      <c r="DB22">
        <v>18.794089079999999</v>
      </c>
      <c r="DC22" s="1">
        <v>9.9559270916199996</v>
      </c>
      <c r="DD22">
        <v>10.8763745748</v>
      </c>
      <c r="DE22">
        <v>57.946369606200001</v>
      </c>
      <c r="DF22" s="1">
        <v>22.640286157799999</v>
      </c>
      <c r="DG22" s="2">
        <v>35.328759430799998</v>
      </c>
      <c r="DH22">
        <v>12.1987428187</v>
      </c>
      <c r="DI22">
        <v>41.240958903299997</v>
      </c>
      <c r="DJ22">
        <v>61.165506792000002</v>
      </c>
      <c r="DK22">
        <v>30.8247314107</v>
      </c>
      <c r="DL22">
        <v>26.661823226700001</v>
      </c>
      <c r="DM22">
        <v>15.891463890000001</v>
      </c>
      <c r="DN22">
        <v>25.482467753000002</v>
      </c>
      <c r="DO22">
        <v>10.4534761507</v>
      </c>
    </row>
    <row r="23" spans="1:119">
      <c r="A23" t="s">
        <v>8</v>
      </c>
      <c r="B23">
        <v>2029</v>
      </c>
      <c r="C23">
        <v>116.937042046</v>
      </c>
      <c r="D23">
        <v>32.333446553500004</v>
      </c>
      <c r="E23">
        <v>102.35223711899999</v>
      </c>
      <c r="G23">
        <v>14.1805818807</v>
      </c>
      <c r="H23">
        <v>18.802340339099999</v>
      </c>
      <c r="I23">
        <v>16.066348528700001</v>
      </c>
      <c r="J23">
        <v>51.642395337700002</v>
      </c>
      <c r="K23">
        <v>83.791644967600007</v>
      </c>
      <c r="L23">
        <v>27.142007617200001</v>
      </c>
      <c r="M23">
        <v>37.133047902100003</v>
      </c>
      <c r="N23">
        <v>6.4628549442200001</v>
      </c>
      <c r="O23">
        <v>77.350207193900005</v>
      </c>
      <c r="P23">
        <v>25.1944551062</v>
      </c>
      <c r="Q23">
        <v>20.996771106800001</v>
      </c>
      <c r="R23">
        <v>26.065230448200001</v>
      </c>
      <c r="S23" s="2">
        <v>40.497791972500004</v>
      </c>
      <c r="T23" s="1">
        <v>54.025683345200001</v>
      </c>
      <c r="U23" s="2">
        <v>9.9684886858099997</v>
      </c>
      <c r="V23" s="1">
        <v>16.956983655799998</v>
      </c>
      <c r="W23">
        <v>156.71741313999999</v>
      </c>
      <c r="X23">
        <v>26.218311342500002</v>
      </c>
      <c r="Y23">
        <v>39.739107294999997</v>
      </c>
      <c r="Z23">
        <v>307.01349266199998</v>
      </c>
      <c r="AA23">
        <v>49.8916227972</v>
      </c>
      <c r="AB23">
        <v>17.095109903499999</v>
      </c>
      <c r="AC23">
        <v>60.763863251499998</v>
      </c>
      <c r="AD23">
        <v>25.346725107800001</v>
      </c>
      <c r="AE23">
        <v>51.081637923899997</v>
      </c>
      <c r="AF23">
        <v>20.033228928500002</v>
      </c>
      <c r="AG23">
        <v>31.104049640100001</v>
      </c>
      <c r="AH23">
        <v>17.083836934299999</v>
      </c>
      <c r="AI23">
        <v>236.487765989</v>
      </c>
      <c r="AJ23">
        <v>282.38047729900001</v>
      </c>
      <c r="AK23">
        <v>8.9230340467799998</v>
      </c>
      <c r="AL23">
        <v>13.334345817599999</v>
      </c>
      <c r="AM23">
        <v>73.679134346599994</v>
      </c>
      <c r="AN23">
        <v>148.04918212300001</v>
      </c>
      <c r="AO23">
        <v>135.28692139899999</v>
      </c>
      <c r="AP23">
        <v>6.65100348021</v>
      </c>
      <c r="AQ23">
        <v>74.484180863099994</v>
      </c>
      <c r="AR23">
        <v>39.446994822900002</v>
      </c>
      <c r="AS23">
        <v>226.89991292600001</v>
      </c>
      <c r="AT23">
        <v>74.313980215200004</v>
      </c>
      <c r="AU23">
        <v>31.253350125000001</v>
      </c>
      <c r="AV23">
        <v>118.321292255</v>
      </c>
      <c r="AW23">
        <v>44.0375930242</v>
      </c>
      <c r="AX23">
        <v>83.594224289799996</v>
      </c>
      <c r="AY23">
        <v>8.4404322789300004</v>
      </c>
      <c r="AZ23">
        <v>32.098573630499999</v>
      </c>
      <c r="BA23">
        <v>39.215933727500001</v>
      </c>
      <c r="BB23">
        <v>9.9158607379399992</v>
      </c>
      <c r="BC23">
        <v>108.38747277900001</v>
      </c>
      <c r="BD23">
        <v>294.78731901600003</v>
      </c>
      <c r="BE23">
        <v>33.387088634800001</v>
      </c>
      <c r="BF23">
        <v>44.209900691199998</v>
      </c>
      <c r="BG23">
        <v>16.765329025</v>
      </c>
      <c r="BH23">
        <v>43.337951819099999</v>
      </c>
      <c r="BI23">
        <v>66.681587570399998</v>
      </c>
      <c r="BJ23">
        <v>33.5031160212</v>
      </c>
      <c r="BK23">
        <v>108.1401714</v>
      </c>
      <c r="BL23">
        <v>34.7819519353</v>
      </c>
      <c r="BM23">
        <v>31.077138709300002</v>
      </c>
      <c r="BN23">
        <v>48.998446535299998</v>
      </c>
      <c r="BO23">
        <v>13.247052524300001</v>
      </c>
      <c r="BP23">
        <v>44.719944807200001</v>
      </c>
      <c r="BQ23">
        <v>7.14238650319</v>
      </c>
      <c r="BR23">
        <v>50.398914181499997</v>
      </c>
      <c r="BS23">
        <v>22.3462017258</v>
      </c>
      <c r="BT23">
        <v>65.696024859299996</v>
      </c>
      <c r="BU23">
        <v>94.844562463100004</v>
      </c>
      <c r="BV23">
        <v>17.635530363400001</v>
      </c>
      <c r="BW23">
        <v>36.940290544200003</v>
      </c>
      <c r="BX23">
        <v>96.254147310199997</v>
      </c>
      <c r="BY23">
        <v>32.833137645299999</v>
      </c>
      <c r="BZ23">
        <v>53.115878186300002</v>
      </c>
      <c r="CA23">
        <v>19.276944869600001</v>
      </c>
      <c r="CB23">
        <v>121.122225192</v>
      </c>
      <c r="CC23">
        <v>22.5873425455</v>
      </c>
      <c r="CD23">
        <v>32.585788942100002</v>
      </c>
      <c r="CE23">
        <v>96.073512407400003</v>
      </c>
      <c r="CF23">
        <v>9.5056072002099992</v>
      </c>
      <c r="CG23">
        <v>13.5669138447</v>
      </c>
      <c r="CH23">
        <v>36.867578832500001</v>
      </c>
      <c r="CI23">
        <v>25.365828240999999</v>
      </c>
      <c r="CJ23">
        <v>13.888915411399999</v>
      </c>
      <c r="CK23">
        <v>49.281206882299998</v>
      </c>
      <c r="CL23">
        <v>35.253433354199998</v>
      </c>
      <c r="CM23">
        <v>59.129966960200001</v>
      </c>
      <c r="CN23">
        <v>94.117491427100006</v>
      </c>
      <c r="CO23">
        <v>75.532693983800002</v>
      </c>
      <c r="CP23">
        <v>73.617181626000004</v>
      </c>
      <c r="CQ23">
        <v>62.352629646700002</v>
      </c>
      <c r="CR23">
        <v>40.718745327299999</v>
      </c>
      <c r="CS23">
        <v>55.3477755551</v>
      </c>
      <c r="CT23">
        <v>13.6189501705</v>
      </c>
      <c r="CU23">
        <v>42.622350704200002</v>
      </c>
      <c r="CV23">
        <v>77.758633069300004</v>
      </c>
      <c r="CW23">
        <v>54.739335703099997</v>
      </c>
      <c r="CX23">
        <v>127.074290714</v>
      </c>
      <c r="CY23">
        <v>22.365512027000001</v>
      </c>
      <c r="CZ23">
        <v>30.571396244599999</v>
      </c>
      <c r="DA23">
        <v>27.546161769899999</v>
      </c>
      <c r="DB23">
        <v>17.2295212565</v>
      </c>
      <c r="DC23" s="1">
        <v>5.8200688552199997</v>
      </c>
      <c r="DD23">
        <v>13.889807748200001</v>
      </c>
      <c r="DE23">
        <v>81.8208400213</v>
      </c>
      <c r="DF23" s="1">
        <v>40.567399966499998</v>
      </c>
      <c r="DG23" s="2">
        <v>28.051051101599999</v>
      </c>
      <c r="DH23">
        <v>20.223165180500001</v>
      </c>
      <c r="DI23">
        <v>42.157733485199998</v>
      </c>
      <c r="DJ23">
        <v>134.86365200899999</v>
      </c>
      <c r="DK23">
        <v>33.660975039900002</v>
      </c>
      <c r="DL23">
        <v>11.131277194600001</v>
      </c>
      <c r="DM23">
        <v>23.522498632200001</v>
      </c>
      <c r="DN23">
        <v>18.515824080000002</v>
      </c>
      <c r="DO23">
        <v>8.8868166748400004</v>
      </c>
    </row>
    <row r="24" spans="1:119">
      <c r="A24" t="s">
        <v>8</v>
      </c>
      <c r="B24">
        <v>2037</v>
      </c>
      <c r="C24">
        <v>498.20731279500001</v>
      </c>
      <c r="D24">
        <v>134.93427870799999</v>
      </c>
      <c r="E24">
        <v>370.72995352499998</v>
      </c>
      <c r="F24">
        <v>17.047100991699999</v>
      </c>
      <c r="G24">
        <v>39.7991153145</v>
      </c>
      <c r="H24">
        <v>44.223482902400001</v>
      </c>
      <c r="I24">
        <v>20.9073523548</v>
      </c>
      <c r="J24">
        <v>98.901038913299999</v>
      </c>
      <c r="K24">
        <v>379.08489243600002</v>
      </c>
      <c r="L24">
        <v>45.138432430800002</v>
      </c>
      <c r="M24">
        <v>28.802108631700001</v>
      </c>
      <c r="N24">
        <v>10.5418856202</v>
      </c>
      <c r="O24">
        <v>102.556176068</v>
      </c>
      <c r="P24">
        <v>88.684051244299994</v>
      </c>
      <c r="Q24">
        <v>17.306093247300002</v>
      </c>
      <c r="R24">
        <v>87.082254661700006</v>
      </c>
      <c r="S24" s="2">
        <v>175.48364101799999</v>
      </c>
      <c r="T24" s="1">
        <v>118.305545721</v>
      </c>
      <c r="U24" s="2">
        <v>46.292442604100003</v>
      </c>
      <c r="V24" s="1">
        <v>38.834672531899997</v>
      </c>
      <c r="W24">
        <v>438.71153198600001</v>
      </c>
      <c r="X24">
        <v>167.50935094600001</v>
      </c>
      <c r="Y24">
        <v>32.8337182056</v>
      </c>
      <c r="Z24">
        <v>787.11166363300003</v>
      </c>
      <c r="AA24">
        <v>28.1889221548</v>
      </c>
      <c r="AB24">
        <v>19.069672191399999</v>
      </c>
      <c r="AC24">
        <v>60.127514727600001</v>
      </c>
      <c r="AD24">
        <v>48.307495330000002</v>
      </c>
      <c r="AE24">
        <v>120.622425694</v>
      </c>
      <c r="AF24">
        <v>99.967598384499993</v>
      </c>
      <c r="AG24">
        <v>28.433919492899999</v>
      </c>
      <c r="AH24">
        <v>52.9841978535</v>
      </c>
      <c r="AI24">
        <v>770.19422194799995</v>
      </c>
      <c r="AJ24">
        <v>663.60413625199999</v>
      </c>
      <c r="AK24">
        <v>22.587158033000001</v>
      </c>
      <c r="AL24">
        <v>16.280785646799998</v>
      </c>
      <c r="AM24">
        <v>53.641218973199997</v>
      </c>
      <c r="AN24">
        <v>143.91785303699999</v>
      </c>
      <c r="AO24">
        <v>241.46549915400001</v>
      </c>
      <c r="AP24">
        <v>7.4731975740200003</v>
      </c>
      <c r="AQ24">
        <v>119.82538479</v>
      </c>
      <c r="AR24">
        <v>54.768068728999999</v>
      </c>
      <c r="AS24">
        <v>989.71621200499999</v>
      </c>
      <c r="AT24">
        <v>91.674342889100004</v>
      </c>
      <c r="AU24">
        <v>36.046629860499998</v>
      </c>
      <c r="AV24">
        <v>318.50922852299999</v>
      </c>
      <c r="AW24">
        <v>156.564476187</v>
      </c>
      <c r="AX24">
        <v>273.80193901600001</v>
      </c>
      <c r="AY24">
        <v>12.15176303</v>
      </c>
      <c r="AZ24">
        <v>109.459492885</v>
      </c>
      <c r="BA24">
        <v>63.972738360599998</v>
      </c>
      <c r="BB24">
        <v>18.5873356082</v>
      </c>
      <c r="BC24">
        <v>512.36374006999995</v>
      </c>
      <c r="BD24">
        <v>624.44390651000003</v>
      </c>
      <c r="BE24">
        <v>30.757425149900001</v>
      </c>
      <c r="BF24">
        <v>265.813420683</v>
      </c>
      <c r="BG24">
        <v>25.052141284899999</v>
      </c>
      <c r="BH24">
        <v>85.523416235200003</v>
      </c>
      <c r="BI24">
        <v>96.538861494900004</v>
      </c>
      <c r="BJ24">
        <v>56.299043262799998</v>
      </c>
      <c r="BK24">
        <v>232.73743341700001</v>
      </c>
      <c r="BL24">
        <v>42.964612022700003</v>
      </c>
      <c r="BM24">
        <v>29.964490177599998</v>
      </c>
      <c r="BN24">
        <v>50.991080659399998</v>
      </c>
      <c r="BO24">
        <v>4.7469115855700004</v>
      </c>
      <c r="BP24">
        <v>69.085479605700002</v>
      </c>
      <c r="BQ24">
        <v>8.2013150675999995</v>
      </c>
      <c r="BR24">
        <v>233.199127078</v>
      </c>
      <c r="BS24">
        <v>137.96425747399999</v>
      </c>
      <c r="BT24">
        <v>363.28405537499998</v>
      </c>
      <c r="BU24">
        <v>293.86064398500002</v>
      </c>
      <c r="BV24">
        <v>32.611856675600002</v>
      </c>
      <c r="BW24">
        <v>94.338816422199997</v>
      </c>
      <c r="BX24">
        <v>130.04180127000001</v>
      </c>
      <c r="BY24">
        <v>53.344887273499999</v>
      </c>
      <c r="BZ24">
        <v>95.334106225799999</v>
      </c>
      <c r="CA24">
        <v>16.1077898084</v>
      </c>
      <c r="CB24">
        <v>169.13020313800001</v>
      </c>
      <c r="CC24">
        <v>64.086041210199994</v>
      </c>
      <c r="CD24">
        <v>63.609670366700001</v>
      </c>
      <c r="CE24">
        <v>440.77054617900001</v>
      </c>
      <c r="CF24">
        <v>28.724364203099999</v>
      </c>
      <c r="CG24">
        <v>6.9364335993299999</v>
      </c>
      <c r="CH24">
        <v>215.18880753799999</v>
      </c>
      <c r="CI24">
        <v>39.006612691699999</v>
      </c>
      <c r="CJ24">
        <v>15.1316147839</v>
      </c>
      <c r="CK24">
        <v>163.052034507</v>
      </c>
      <c r="CL24">
        <v>33.178414370600002</v>
      </c>
      <c r="CM24">
        <v>138.37566356900001</v>
      </c>
      <c r="CN24">
        <v>291.35945531700003</v>
      </c>
      <c r="CO24">
        <v>74.922357349600006</v>
      </c>
      <c r="CP24">
        <v>156.65040394499999</v>
      </c>
      <c r="CQ24">
        <v>133.648996582</v>
      </c>
      <c r="CR24">
        <v>59.024130598399999</v>
      </c>
      <c r="CS24">
        <v>196.10423540799999</v>
      </c>
      <c r="CT24">
        <v>23.274288436399999</v>
      </c>
      <c r="CU24">
        <v>91.661240958799993</v>
      </c>
      <c r="CV24">
        <v>89.648901503800005</v>
      </c>
      <c r="CW24">
        <v>119.796418347</v>
      </c>
      <c r="CX24">
        <v>95.491452322699999</v>
      </c>
      <c r="CY24">
        <v>96.137489433900001</v>
      </c>
      <c r="CZ24">
        <v>65.097537779299998</v>
      </c>
      <c r="DA24">
        <v>78.709219127699996</v>
      </c>
      <c r="DB24">
        <v>23.480815506700001</v>
      </c>
      <c r="DC24" s="1">
        <v>4.0399113400199997</v>
      </c>
      <c r="DD24">
        <v>25.8040180743</v>
      </c>
      <c r="DE24">
        <v>142.62708520699999</v>
      </c>
      <c r="DF24" s="1">
        <v>400.65672277800002</v>
      </c>
      <c r="DG24" s="2">
        <v>21.041201253800001</v>
      </c>
      <c r="DH24">
        <v>62.166254254999998</v>
      </c>
      <c r="DI24">
        <v>221.162193258</v>
      </c>
      <c r="DJ24">
        <v>308.91396303099998</v>
      </c>
      <c r="DK24">
        <v>69.811666858999999</v>
      </c>
      <c r="DL24">
        <v>14.1516002129</v>
      </c>
      <c r="DM24">
        <v>40.907235940299998</v>
      </c>
      <c r="DN24">
        <v>5.3505232683399999</v>
      </c>
      <c r="DO24">
        <v>9.3621469868199991</v>
      </c>
    </row>
    <row r="25" spans="1:119">
      <c r="A25" t="s">
        <v>8</v>
      </c>
      <c r="B25">
        <v>2045</v>
      </c>
      <c r="C25">
        <v>973.85295147199997</v>
      </c>
      <c r="D25">
        <v>318.25705571899999</v>
      </c>
      <c r="E25">
        <v>336.24160883000002</v>
      </c>
      <c r="F25">
        <v>86.488412197100004</v>
      </c>
      <c r="G25">
        <v>112.34272655700001</v>
      </c>
      <c r="H25">
        <v>23.7643995283</v>
      </c>
      <c r="I25">
        <v>110.24777218600001</v>
      </c>
      <c r="J25">
        <v>192.03954382699999</v>
      </c>
      <c r="K25">
        <v>392.92122669100002</v>
      </c>
      <c r="L25">
        <v>48.463815042</v>
      </c>
      <c r="M25">
        <v>23.7129240254</v>
      </c>
      <c r="N25">
        <v>24.842242133999999</v>
      </c>
      <c r="O25">
        <v>101.99960685000001</v>
      </c>
      <c r="P25">
        <v>166.600474752</v>
      </c>
      <c r="Q25">
        <v>38.845344443599998</v>
      </c>
      <c r="R25">
        <v>73.792481318599997</v>
      </c>
      <c r="S25" s="2">
        <v>340.06424490799998</v>
      </c>
      <c r="T25" s="1">
        <v>628.49677013500002</v>
      </c>
      <c r="U25" s="2">
        <v>77.287960818200006</v>
      </c>
      <c r="V25" s="1">
        <v>152.30530310699999</v>
      </c>
      <c r="W25">
        <v>225.829407358</v>
      </c>
      <c r="X25">
        <v>354.92584628100002</v>
      </c>
      <c r="Y25">
        <v>58.207468868200003</v>
      </c>
      <c r="Z25">
        <v>1852.074513</v>
      </c>
      <c r="AA25">
        <v>20.789621652200001</v>
      </c>
      <c r="AB25">
        <v>45.9978592107</v>
      </c>
      <c r="AC25">
        <v>74.823052559000004</v>
      </c>
      <c r="AD25">
        <v>72.659548306700003</v>
      </c>
      <c r="AE25">
        <v>208.69214965</v>
      </c>
      <c r="AF25">
        <v>62.805362615699998</v>
      </c>
      <c r="AG25">
        <v>42.765432377499998</v>
      </c>
      <c r="AH25">
        <v>13.279008209200001</v>
      </c>
      <c r="AI25">
        <v>3213.4885351299999</v>
      </c>
      <c r="AJ25">
        <v>1729.5093575000001</v>
      </c>
      <c r="AK25">
        <v>81.973717569399994</v>
      </c>
      <c r="AL25">
        <v>51.7246918628</v>
      </c>
      <c r="AM25">
        <v>173.68434870799999</v>
      </c>
      <c r="AN25">
        <v>148.336640351</v>
      </c>
      <c r="AO25">
        <v>321.26735756699998</v>
      </c>
      <c r="AP25">
        <v>14.1229148154</v>
      </c>
      <c r="AQ25">
        <v>361.89646263399999</v>
      </c>
      <c r="AR25">
        <v>108.518641884</v>
      </c>
      <c r="AS25">
        <v>3298.6684326899999</v>
      </c>
      <c r="AT25">
        <v>90.013116489200002</v>
      </c>
      <c r="AU25">
        <v>48.520367212300002</v>
      </c>
      <c r="AV25">
        <v>874.88509697100005</v>
      </c>
      <c r="AW25">
        <v>223.23468890999999</v>
      </c>
      <c r="AX25">
        <v>286.62546684400002</v>
      </c>
      <c r="AY25">
        <v>15.268421523800001</v>
      </c>
      <c r="AZ25">
        <v>82.529796066900005</v>
      </c>
      <c r="BA25">
        <v>120.482899859</v>
      </c>
      <c r="BB25">
        <v>64.280030671199995</v>
      </c>
      <c r="BC25">
        <v>769.91958471700002</v>
      </c>
      <c r="BD25">
        <v>332.216295952</v>
      </c>
      <c r="BE25">
        <v>62.8874293716</v>
      </c>
      <c r="BF25">
        <v>757.55026568999995</v>
      </c>
      <c r="BG25">
        <v>34.943094047899997</v>
      </c>
      <c r="BH25">
        <v>143.99190856499999</v>
      </c>
      <c r="BI25">
        <v>152.89260600200001</v>
      </c>
      <c r="BJ25">
        <v>209.02090870200001</v>
      </c>
      <c r="BK25">
        <v>412.153197095</v>
      </c>
      <c r="BL25">
        <v>76.195223927499995</v>
      </c>
      <c r="BM25">
        <v>98.212959291999994</v>
      </c>
      <c r="BN25">
        <v>118.982157847</v>
      </c>
      <c r="BO25">
        <v>18.307282965100001</v>
      </c>
      <c r="BP25">
        <v>313.31906142899999</v>
      </c>
      <c r="BQ25">
        <v>16.1427103081</v>
      </c>
      <c r="BR25">
        <v>721.995920662</v>
      </c>
      <c r="BS25">
        <v>150.817058554</v>
      </c>
      <c r="BT25">
        <v>479.75533185400002</v>
      </c>
      <c r="BU25">
        <v>720.98392499299996</v>
      </c>
      <c r="BV25">
        <v>67.273321982599995</v>
      </c>
      <c r="BW25">
        <v>226.85671855199999</v>
      </c>
      <c r="BX25">
        <v>379.27602381299999</v>
      </c>
      <c r="BY25">
        <v>114.73603376200001</v>
      </c>
      <c r="BZ25">
        <v>62.134321739299999</v>
      </c>
      <c r="CA25">
        <v>28.890011161</v>
      </c>
      <c r="CB25">
        <v>384.52097637600002</v>
      </c>
      <c r="CC25">
        <v>440.46435560499998</v>
      </c>
      <c r="CD25">
        <v>366.803376163</v>
      </c>
      <c r="CE25">
        <v>1153.47949027</v>
      </c>
      <c r="CF25">
        <v>63.749927037600003</v>
      </c>
      <c r="CG25">
        <v>8.7562774494699998</v>
      </c>
      <c r="CH25">
        <v>433.402984984</v>
      </c>
      <c r="CI25">
        <v>82.741906510000007</v>
      </c>
      <c r="CJ25">
        <v>8.6012883739999992</v>
      </c>
      <c r="CK25">
        <v>245.747048855</v>
      </c>
      <c r="CL25">
        <v>17.562193474600001</v>
      </c>
      <c r="CM25">
        <v>225.21043041900001</v>
      </c>
      <c r="CN25">
        <v>509.64299844999999</v>
      </c>
      <c r="CO25">
        <v>175.05999459899999</v>
      </c>
      <c r="CP25">
        <v>405.40070525499999</v>
      </c>
      <c r="CQ25">
        <v>115.852172807</v>
      </c>
      <c r="CR25">
        <v>223.870880215</v>
      </c>
      <c r="CS25">
        <v>250.50894957700001</v>
      </c>
      <c r="CT25">
        <v>58.460841769600002</v>
      </c>
      <c r="CU25">
        <v>82.914353650199999</v>
      </c>
      <c r="CV25">
        <v>45.023921077300002</v>
      </c>
      <c r="CW25">
        <v>130.302725256</v>
      </c>
      <c r="CX25">
        <v>128.37907853900001</v>
      </c>
      <c r="CY25">
        <v>133.28778418100001</v>
      </c>
      <c r="CZ25">
        <v>174.51907897199999</v>
      </c>
      <c r="DA25">
        <v>171.77725999500001</v>
      </c>
      <c r="DB25">
        <v>17.8630402605</v>
      </c>
      <c r="DC25" s="1">
        <v>8.5333152982300007</v>
      </c>
      <c r="DD25">
        <v>48.622612811000003</v>
      </c>
      <c r="DE25">
        <v>230.244214524</v>
      </c>
      <c r="DF25" s="1">
        <v>232.841337275</v>
      </c>
      <c r="DG25" s="2">
        <v>38.040535230800003</v>
      </c>
      <c r="DH25">
        <v>175.41849412100001</v>
      </c>
      <c r="DI25">
        <v>268.22773332600002</v>
      </c>
      <c r="DJ25">
        <v>827.16363260900005</v>
      </c>
      <c r="DK25">
        <v>57.2812571722</v>
      </c>
      <c r="DL25">
        <v>35.881034207500001</v>
      </c>
      <c r="DM25">
        <v>38.795067655399997</v>
      </c>
      <c r="DN25">
        <v>22.010348643299999</v>
      </c>
      <c r="DO25">
        <v>9.9924180595099994</v>
      </c>
    </row>
    <row r="26" spans="1:119" s="1" customFormat="1">
      <c r="A26" s="1" t="s">
        <v>9</v>
      </c>
      <c r="B26" s="1">
        <v>2021</v>
      </c>
      <c r="C26" s="1">
        <v>42.107798398699998</v>
      </c>
      <c r="D26" s="1">
        <v>31.2211754052</v>
      </c>
      <c r="E26" s="1">
        <v>63.930825694600003</v>
      </c>
      <c r="F26" s="1">
        <v>28.750197809100001</v>
      </c>
      <c r="G26" s="1">
        <v>20.4065583348</v>
      </c>
      <c r="H26" s="1">
        <v>15.017537262299999</v>
      </c>
      <c r="I26" s="1">
        <v>23.3294780678</v>
      </c>
      <c r="J26" s="1">
        <v>38.109884331899998</v>
      </c>
      <c r="K26" s="1">
        <v>22.7563262209</v>
      </c>
      <c r="L26" s="1">
        <v>39.004733250599998</v>
      </c>
      <c r="M26" s="1">
        <v>38.250957950299998</v>
      </c>
      <c r="N26" s="1">
        <v>15.7169429447</v>
      </c>
      <c r="O26" s="1">
        <v>18.879217732600001</v>
      </c>
      <c r="P26" s="1">
        <v>21.5271487441</v>
      </c>
      <c r="Q26" s="1">
        <v>27.6569294259</v>
      </c>
      <c r="R26" s="1">
        <v>27.150394537499999</v>
      </c>
      <c r="S26" s="1">
        <v>16.850677760899998</v>
      </c>
      <c r="T26" s="1">
        <v>10.8353871407</v>
      </c>
      <c r="U26" s="1">
        <v>29.8821513199</v>
      </c>
      <c r="V26" s="1">
        <v>23.246522234499999</v>
      </c>
      <c r="W26" s="1">
        <v>102.760573134</v>
      </c>
      <c r="X26" s="1">
        <v>23.3544710452</v>
      </c>
      <c r="Y26" s="1">
        <v>25.265622475000001</v>
      </c>
      <c r="Z26" s="1">
        <v>82.764394546000005</v>
      </c>
      <c r="AA26" s="1">
        <v>20.6853108012</v>
      </c>
      <c r="AB26" s="1">
        <v>25.615868154099999</v>
      </c>
      <c r="AC26" s="1">
        <v>15.380939168999999</v>
      </c>
      <c r="AD26" s="1">
        <v>11.080116608899999</v>
      </c>
      <c r="AE26" s="1">
        <v>20.461081301299998</v>
      </c>
      <c r="AF26" s="1">
        <v>21.039754370299999</v>
      </c>
      <c r="AG26" s="1">
        <v>14.2552874879</v>
      </c>
      <c r="AH26" s="1">
        <v>36.097450672800001</v>
      </c>
      <c r="AI26" s="1">
        <v>32.818660900200001</v>
      </c>
      <c r="AJ26" s="1">
        <v>65.043363858999996</v>
      </c>
      <c r="AK26" s="1">
        <v>8.5278260046700005</v>
      </c>
      <c r="AL26" s="1">
        <v>24.627168107900001</v>
      </c>
      <c r="AM26" s="1">
        <v>49.689023944299997</v>
      </c>
      <c r="AN26" s="1">
        <v>52.841972935100003</v>
      </c>
      <c r="AO26" s="1">
        <v>38.2636737463</v>
      </c>
      <c r="AP26" s="1">
        <v>10.9115464543</v>
      </c>
      <c r="AQ26" s="1">
        <v>20.397875023000001</v>
      </c>
      <c r="AR26" s="1">
        <v>26.757602969099999</v>
      </c>
      <c r="AS26" s="1">
        <v>59.655156422700003</v>
      </c>
      <c r="AT26" s="1">
        <v>43.669598237400002</v>
      </c>
      <c r="AU26" s="1">
        <v>17.082082919899999</v>
      </c>
      <c r="AV26" s="1">
        <v>32.711005324699997</v>
      </c>
      <c r="AW26" s="1">
        <v>37.454440237699998</v>
      </c>
      <c r="AX26" s="1">
        <v>30.772009495500001</v>
      </c>
      <c r="AY26" s="1">
        <v>9.9050138964300007</v>
      </c>
      <c r="AZ26" s="1">
        <v>26.207721950700002</v>
      </c>
      <c r="BA26" s="1">
        <v>24.589373666299998</v>
      </c>
      <c r="BB26" s="1">
        <v>13.367418648299999</v>
      </c>
      <c r="BC26" s="1">
        <v>53.8159846629</v>
      </c>
      <c r="BD26" s="1">
        <v>85.593302557499996</v>
      </c>
      <c r="BE26" s="1">
        <v>39.544286893799999</v>
      </c>
      <c r="BF26" s="1">
        <v>18.8028524936</v>
      </c>
      <c r="BG26" s="1">
        <v>18.306901916600001</v>
      </c>
      <c r="BH26" s="1">
        <v>29.736594050400001</v>
      </c>
      <c r="BI26" s="1">
        <v>32.571913521200003</v>
      </c>
      <c r="BJ26" s="1">
        <v>27.614613609799999</v>
      </c>
      <c r="BK26" s="1">
        <v>32.794566984100001</v>
      </c>
      <c r="BL26" s="1">
        <v>16.942996153100001</v>
      </c>
      <c r="BM26" s="1">
        <v>17.8543142718</v>
      </c>
      <c r="BN26" s="1">
        <v>23.382932857499998</v>
      </c>
      <c r="BO26" s="1">
        <v>22.687751883600001</v>
      </c>
      <c r="BP26" s="1">
        <v>19.2194328058</v>
      </c>
      <c r="BQ26" s="1">
        <v>16.379345496300001</v>
      </c>
      <c r="BR26" s="1">
        <v>19.820522698800001</v>
      </c>
      <c r="BS26" s="1">
        <v>22.139318756400002</v>
      </c>
      <c r="BT26" s="1">
        <v>25.758661713199999</v>
      </c>
      <c r="BU26" s="1">
        <v>26.820739178499998</v>
      </c>
      <c r="BV26" s="1">
        <v>20.165895274699999</v>
      </c>
      <c r="BW26" s="1">
        <v>36.207979920500001</v>
      </c>
      <c r="BX26" s="1">
        <v>43.8881784919</v>
      </c>
      <c r="BY26" s="1">
        <v>9.9583799121399998</v>
      </c>
      <c r="BZ26" s="1">
        <v>39.536342345000001</v>
      </c>
      <c r="CA26" s="1">
        <v>28.573366984100002</v>
      </c>
      <c r="CB26" s="1">
        <v>54.233402787300001</v>
      </c>
      <c r="CC26" s="1">
        <v>14.7543785024</v>
      </c>
      <c r="CD26" s="1">
        <v>21.676440194000001</v>
      </c>
      <c r="CE26" s="1">
        <v>51.166171595500003</v>
      </c>
      <c r="CF26" s="1">
        <v>15.004301593799999</v>
      </c>
      <c r="CG26" s="1">
        <v>17.7257226037</v>
      </c>
      <c r="CH26" s="1">
        <v>22.904978490400001</v>
      </c>
      <c r="CI26" s="1">
        <v>38.948214669999999</v>
      </c>
      <c r="CJ26" s="1">
        <v>27.592953640299999</v>
      </c>
      <c r="CK26" s="1">
        <v>19.874110459400001</v>
      </c>
      <c r="CL26" s="1">
        <v>21.788799727099999</v>
      </c>
      <c r="CM26" s="1">
        <v>45.678551728400002</v>
      </c>
      <c r="CN26" s="1">
        <v>56.469035754799997</v>
      </c>
      <c r="CO26" s="1">
        <v>22.864117052899999</v>
      </c>
      <c r="CP26" s="1">
        <v>34.126755730200003</v>
      </c>
      <c r="CQ26" s="1">
        <v>25.951548794200001</v>
      </c>
      <c r="CR26" s="1">
        <v>17.949011365200001</v>
      </c>
      <c r="CS26" s="1">
        <v>20.225495876099998</v>
      </c>
      <c r="CT26" s="1">
        <v>16.569274356899999</v>
      </c>
      <c r="CU26" s="1">
        <v>48.234887571500003</v>
      </c>
      <c r="CV26" s="1">
        <v>64.078749636599994</v>
      </c>
      <c r="CW26" s="1">
        <v>33.202203406800002</v>
      </c>
      <c r="CX26" s="1">
        <v>70.655736625000003</v>
      </c>
      <c r="CY26" s="1">
        <v>13.701740324399999</v>
      </c>
      <c r="CZ26" s="1">
        <v>46.289558125100001</v>
      </c>
      <c r="DA26" s="1">
        <v>22.8912669829</v>
      </c>
      <c r="DB26" s="1">
        <v>19.568377394199999</v>
      </c>
      <c r="DC26" s="1">
        <v>10.366096372599999</v>
      </c>
      <c r="DD26" s="1">
        <v>11.3244649131</v>
      </c>
      <c r="DE26" s="1">
        <v>60.333673222900003</v>
      </c>
      <c r="DF26" s="1">
        <v>23.573032029499998</v>
      </c>
      <c r="DG26" s="1">
        <v>36.784251392400002</v>
      </c>
      <c r="DH26" s="1">
        <v>12.701312747599999</v>
      </c>
      <c r="DI26" s="1">
        <v>42.940024625900001</v>
      </c>
      <c r="DJ26" s="1">
        <v>63.685434038099999</v>
      </c>
      <c r="DK26" s="1">
        <v>32.094664165499999</v>
      </c>
      <c r="DL26" s="1">
        <v>27.760250400899999</v>
      </c>
      <c r="DM26" s="1">
        <v>16.546168394799999</v>
      </c>
      <c r="DN26" s="1">
        <v>26.5323072485</v>
      </c>
      <c r="DO26" s="1">
        <v>10.8841437075</v>
      </c>
    </row>
    <row r="27" spans="1:119" s="1" customFormat="1">
      <c r="A27" s="1" t="s">
        <v>9</v>
      </c>
      <c r="B27" s="1">
        <v>2029</v>
      </c>
      <c r="C27" s="1">
        <v>121.754672992</v>
      </c>
      <c r="D27" s="1">
        <v>33.665536111900003</v>
      </c>
      <c r="E27" s="1">
        <v>106.56899595100001</v>
      </c>
      <c r="F27" s="1">
        <v>18.889963854200001</v>
      </c>
      <c r="G27" s="1">
        <v>14.7648006099</v>
      </c>
      <c r="H27" s="1">
        <v>19.5769685928</v>
      </c>
      <c r="I27" s="1">
        <v>16.7282580187</v>
      </c>
      <c r="J27" s="1">
        <v>53.769984658699997</v>
      </c>
      <c r="K27" s="1">
        <v>87.243735209700006</v>
      </c>
      <c r="L27" s="1">
        <v>28.260217668900001</v>
      </c>
      <c r="M27" s="1">
        <v>38.662873845699998</v>
      </c>
      <c r="N27" s="1">
        <v>6.7291148857399996</v>
      </c>
      <c r="O27" s="1">
        <v>80.5369198498</v>
      </c>
      <c r="P27" s="1">
        <v>26.232428912100001</v>
      </c>
      <c r="Q27" s="1">
        <v>21.861806620599999</v>
      </c>
      <c r="R27" s="1">
        <v>27.139078893600001</v>
      </c>
      <c r="S27" s="1">
        <v>42.166240330900003</v>
      </c>
      <c r="T27" s="1">
        <v>56.2514605617</v>
      </c>
      <c r="U27" s="1">
        <v>10.379175485599999</v>
      </c>
      <c r="V27" s="1">
        <v>17.6555859787</v>
      </c>
      <c r="W27" s="1">
        <v>163.173935779</v>
      </c>
      <c r="X27" s="1">
        <v>27.298466491399999</v>
      </c>
      <c r="Y27" s="1">
        <v>41.376298981300003</v>
      </c>
      <c r="Z27" s="1">
        <v>319.66198861399999</v>
      </c>
      <c r="AA27" s="1">
        <v>51.947082912399999</v>
      </c>
      <c r="AB27" s="1">
        <v>17.799402820899999</v>
      </c>
      <c r="AC27" s="1">
        <v>63.267243385500002</v>
      </c>
      <c r="AD27" s="1">
        <v>26.390972209600001</v>
      </c>
      <c r="AE27" s="1">
        <v>53.186124879600001</v>
      </c>
      <c r="AF27" s="1">
        <v>20.858567948000001</v>
      </c>
      <c r="AG27" s="1">
        <v>32.385489887399999</v>
      </c>
      <c r="AH27" s="1">
        <v>17.7876654222</v>
      </c>
      <c r="AI27" s="1">
        <v>246.23070765899999</v>
      </c>
      <c r="AJ27" s="1">
        <v>294.01412992100001</v>
      </c>
      <c r="AK27" s="1">
        <v>9.2906496816700006</v>
      </c>
      <c r="AL27" s="1">
        <v>13.8837008888</v>
      </c>
      <c r="AM27" s="1">
        <v>76.714604300999994</v>
      </c>
      <c r="AN27" s="1">
        <v>154.14858663000001</v>
      </c>
      <c r="AO27" s="1">
        <v>140.86053988399999</v>
      </c>
      <c r="AP27" s="1">
        <v>6.9250148595400001</v>
      </c>
      <c r="AQ27" s="1">
        <v>77.552817527900004</v>
      </c>
      <c r="AR27" s="1">
        <v>41.072151912999999</v>
      </c>
      <c r="AS27" s="1">
        <v>236.247849414</v>
      </c>
      <c r="AT27" s="1">
        <v>77.3756048682</v>
      </c>
      <c r="AU27" s="1">
        <v>32.540941328599999</v>
      </c>
      <c r="AV27" s="1">
        <v>123.195952236</v>
      </c>
      <c r="AW27" s="1">
        <v>45.851875882800002</v>
      </c>
      <c r="AX27" s="1">
        <v>87.038181095799999</v>
      </c>
      <c r="AY27" s="1">
        <v>8.7881654439699997</v>
      </c>
      <c r="AZ27" s="1">
        <v>33.420986776299998</v>
      </c>
      <c r="BA27" s="1">
        <v>40.831571446600002</v>
      </c>
      <c r="BB27" s="1">
        <v>10.324379345100001</v>
      </c>
      <c r="BC27" s="1">
        <v>112.85287427900001</v>
      </c>
      <c r="BD27" s="1">
        <v>306.932114931</v>
      </c>
      <c r="BE27" s="1">
        <v>34.762586668399997</v>
      </c>
      <c r="BF27" s="1">
        <v>46.031282367599999</v>
      </c>
      <c r="BG27" s="1">
        <v>17.456035464199999</v>
      </c>
      <c r="BH27" s="1">
        <v>45.123410508200003</v>
      </c>
      <c r="BI27" s="1">
        <v>69.428769080799995</v>
      </c>
      <c r="BJ27" s="1">
        <v>34.8833942093</v>
      </c>
      <c r="BK27" s="1">
        <v>112.595384454</v>
      </c>
      <c r="BL27" s="1">
        <v>36.214916247200001</v>
      </c>
      <c r="BM27" s="1">
        <v>32.357470266599996</v>
      </c>
      <c r="BN27" s="1">
        <v>51.017109126699999</v>
      </c>
      <c r="BO27" s="1">
        <v>13.792811242499999</v>
      </c>
      <c r="BP27" s="1">
        <v>46.562339537</v>
      </c>
      <c r="BQ27" s="1">
        <v>7.4366421269199998</v>
      </c>
      <c r="BR27" s="1">
        <v>52.475273941799998</v>
      </c>
      <c r="BS27" s="1">
        <v>23.266831759399999</v>
      </c>
      <c r="BT27" s="1">
        <v>68.402602662500001</v>
      </c>
      <c r="BU27" s="1">
        <v>98.752016347400001</v>
      </c>
      <c r="BV27" s="1">
        <v>18.362087794099999</v>
      </c>
      <c r="BW27" s="1">
        <v>38.462175173399999</v>
      </c>
      <c r="BX27" s="1">
        <v>100.219673978</v>
      </c>
      <c r="BY27" s="1">
        <v>34.185813727999999</v>
      </c>
      <c r="BZ27" s="1">
        <v>55.304172793200003</v>
      </c>
      <c r="CA27" s="1">
        <v>20.071126118900001</v>
      </c>
      <c r="CB27" s="1">
        <v>126.112279413</v>
      </c>
      <c r="CC27" s="1">
        <v>23.5179072197</v>
      </c>
      <c r="CD27" s="1">
        <v>33.928274628899999</v>
      </c>
      <c r="CE27" s="1">
        <v>100.03159718800001</v>
      </c>
      <c r="CF27" s="1">
        <v>9.8972239762500003</v>
      </c>
      <c r="CG27" s="1">
        <v>14.1258503701</v>
      </c>
      <c r="CH27" s="1">
        <v>38.386467848099997</v>
      </c>
      <c r="CI27" s="1">
        <v>26.410862363300001</v>
      </c>
      <c r="CJ27" s="1">
        <v>14.461117918999999</v>
      </c>
      <c r="CK27" s="1">
        <v>51.3115187764</v>
      </c>
      <c r="CL27" s="1">
        <v>36.705821994300003</v>
      </c>
      <c r="CM27" s="1">
        <v>61.566033014699997</v>
      </c>
      <c r="CN27" s="1">
        <v>97.994991073899996</v>
      </c>
      <c r="CO27" s="1">
        <v>78.644527818300006</v>
      </c>
      <c r="CP27" s="1">
        <v>76.650099221100007</v>
      </c>
      <c r="CQ27" s="1">
        <v>64.921464575900004</v>
      </c>
      <c r="CR27" s="1">
        <v>42.396296632899997</v>
      </c>
      <c r="CS27" s="1">
        <v>57.628020990000003</v>
      </c>
      <c r="CT27" s="1">
        <v>14.1800305146</v>
      </c>
      <c r="CU27" s="1">
        <v>44.378327699499998</v>
      </c>
      <c r="CV27" s="1">
        <v>80.962172259400006</v>
      </c>
      <c r="CW27" s="1">
        <v>56.994514327600001</v>
      </c>
      <c r="CX27" s="1">
        <v>132.309561118</v>
      </c>
      <c r="CY27" s="1">
        <v>23.286937616199999</v>
      </c>
      <c r="CZ27" s="1">
        <v>31.83089197</v>
      </c>
      <c r="DA27" s="1">
        <v>28.681022367099999</v>
      </c>
      <c r="DB27" s="1">
        <v>17.939351720299999</v>
      </c>
      <c r="DC27" s="1">
        <v>6.05984697285</v>
      </c>
      <c r="DD27" s="1">
        <v>14.4620470187</v>
      </c>
      <c r="DE27" s="1">
        <v>85.1917360522</v>
      </c>
      <c r="DF27" s="1">
        <v>42.238716070000002</v>
      </c>
      <c r="DG27" s="1">
        <v>29.206712382900001</v>
      </c>
      <c r="DH27" s="1">
        <v>21.056329289099999</v>
      </c>
      <c r="DI27" s="1">
        <v>43.8945689472</v>
      </c>
      <c r="DJ27" s="1">
        <v>140.419832429</v>
      </c>
      <c r="DK27" s="1">
        <v>35.047756783099999</v>
      </c>
      <c r="DL27" s="1">
        <v>11.589869138899999</v>
      </c>
      <c r="DM27" s="1">
        <v>24.491590336200002</v>
      </c>
      <c r="DN27" s="1">
        <v>19.278648293100002</v>
      </c>
      <c r="DO27" s="1">
        <v>9.2529402082600001</v>
      </c>
    </row>
    <row r="28" spans="1:119" s="1" customFormat="1">
      <c r="A28" s="1" t="s">
        <v>9</v>
      </c>
      <c r="B28" s="1">
        <v>2037</v>
      </c>
      <c r="C28" s="1">
        <v>518.73270770399995</v>
      </c>
      <c r="D28" s="1">
        <v>140.49336884300001</v>
      </c>
      <c r="E28" s="1">
        <v>386.00347220999998</v>
      </c>
      <c r="F28" s="1">
        <v>17.749416013800001</v>
      </c>
      <c r="G28" s="1">
        <v>41.438779241299997</v>
      </c>
      <c r="H28" s="1">
        <v>46.045424145600002</v>
      </c>
      <c r="I28" s="1">
        <v>21.768703949999999</v>
      </c>
      <c r="J28" s="1">
        <v>102.97561355000001</v>
      </c>
      <c r="K28" s="1">
        <v>394.70262208700001</v>
      </c>
      <c r="L28" s="1">
        <v>46.998068223799997</v>
      </c>
      <c r="M28" s="1">
        <v>29.988712358099999</v>
      </c>
      <c r="N28" s="1">
        <v>10.976195514700001</v>
      </c>
      <c r="O28" s="1">
        <v>106.78133688</v>
      </c>
      <c r="P28" s="1">
        <v>92.337701295599999</v>
      </c>
      <c r="Q28" s="1">
        <v>18.019078362399998</v>
      </c>
      <c r="R28" s="1">
        <v>90.6699130935</v>
      </c>
      <c r="S28" s="1">
        <v>182.713304131</v>
      </c>
      <c r="T28" s="1">
        <v>123.179556968</v>
      </c>
      <c r="U28" s="1">
        <v>48.199621887399999</v>
      </c>
      <c r="V28" s="1">
        <v>40.434602861000002</v>
      </c>
      <c r="W28" s="1">
        <v>456.78578985799999</v>
      </c>
      <c r="X28" s="1">
        <v>174.41048525400001</v>
      </c>
      <c r="Y28" s="1">
        <v>34.186418206600003</v>
      </c>
      <c r="Z28" s="1">
        <v>819.53948498099999</v>
      </c>
      <c r="AA28" s="1">
        <v>29.350263516999998</v>
      </c>
      <c r="AB28" s="1">
        <v>19.855314116900001</v>
      </c>
      <c r="AC28" s="1">
        <v>62.604678255700001</v>
      </c>
      <c r="AD28" s="1">
        <v>50.2976917668</v>
      </c>
      <c r="AE28" s="1">
        <v>125.59188892500001</v>
      </c>
      <c r="AF28" s="1">
        <v>104.086113674</v>
      </c>
      <c r="AG28" s="1">
        <v>29.605354378400001</v>
      </c>
      <c r="AH28" s="1">
        <v>55.167067428000003</v>
      </c>
      <c r="AI28" s="1">
        <v>801.92507004300001</v>
      </c>
      <c r="AJ28" s="1">
        <v>690.94363250200001</v>
      </c>
      <c r="AK28" s="1">
        <v>23.517715105499999</v>
      </c>
      <c r="AL28" s="1">
        <v>16.951529624799999</v>
      </c>
      <c r="AM28" s="1">
        <v>55.851156833499999</v>
      </c>
      <c r="AN28" s="1">
        <v>149.847052975</v>
      </c>
      <c r="AO28" s="1">
        <v>251.41351597299999</v>
      </c>
      <c r="AP28" s="1">
        <v>7.7810821182599996</v>
      </c>
      <c r="AQ28" s="1">
        <v>124.762011129</v>
      </c>
      <c r="AR28" s="1">
        <v>57.0244311111</v>
      </c>
      <c r="AS28" s="1">
        <v>1030.49103722</v>
      </c>
      <c r="AT28" s="1">
        <v>95.451188476300004</v>
      </c>
      <c r="AU28" s="1">
        <v>37.5316970083</v>
      </c>
      <c r="AV28" s="1">
        <v>331.63133157099998</v>
      </c>
      <c r="AW28" s="1">
        <v>163.01469805299999</v>
      </c>
      <c r="AX28" s="1">
        <v>285.08216871399998</v>
      </c>
      <c r="AY28" s="1">
        <v>12.652397462</v>
      </c>
      <c r="AZ28" s="1">
        <v>113.969060008</v>
      </c>
      <c r="BA28" s="1">
        <v>66.608319341699996</v>
      </c>
      <c r="BB28" s="1">
        <v>19.353105988999999</v>
      </c>
      <c r="BC28" s="1">
        <v>533.47235857500004</v>
      </c>
      <c r="BD28" s="1">
        <v>650.17005996199998</v>
      </c>
      <c r="BE28" s="1">
        <v>32.024584987600001</v>
      </c>
      <c r="BF28" s="1">
        <v>276.76453539300002</v>
      </c>
      <c r="BG28" s="1">
        <v>26.084251974499999</v>
      </c>
      <c r="BH28" s="1">
        <v>89.046852859099999</v>
      </c>
      <c r="BI28" s="1">
        <v>100.51611796100001</v>
      </c>
      <c r="BJ28" s="1">
        <v>58.618479502100001</v>
      </c>
      <c r="BK28" s="1">
        <v>242.325867004</v>
      </c>
      <c r="BL28" s="1">
        <v>44.734689671600002</v>
      </c>
      <c r="BM28" s="1">
        <v>31.198982282300001</v>
      </c>
      <c r="BN28" s="1">
        <v>53.0918367915</v>
      </c>
      <c r="BO28" s="1">
        <v>4.9424772314099998</v>
      </c>
      <c r="BP28" s="1">
        <v>71.931697866600004</v>
      </c>
      <c r="BQ28" s="1">
        <v>8.5391969617699992</v>
      </c>
      <c r="BR28" s="1">
        <v>242.80658175100001</v>
      </c>
      <c r="BS28" s="1">
        <v>143.648178194</v>
      </c>
      <c r="BT28" s="1">
        <v>378.25081421099998</v>
      </c>
      <c r="BU28" s="1">
        <v>305.96726227699997</v>
      </c>
      <c r="BV28" s="1">
        <v>33.955416313900002</v>
      </c>
      <c r="BW28" s="1">
        <v>98.225434327299993</v>
      </c>
      <c r="BX28" s="1">
        <v>135.39932866300001</v>
      </c>
      <c r="BY28" s="1">
        <v>55.542616711800001</v>
      </c>
      <c r="BZ28" s="1">
        <v>99.261728579700005</v>
      </c>
      <c r="CA28" s="1">
        <v>16.771406617</v>
      </c>
      <c r="CB28" s="1">
        <v>176.09811412799999</v>
      </c>
      <c r="CC28" s="1">
        <v>66.726290098999996</v>
      </c>
      <c r="CD28" s="1">
        <v>66.230293490500003</v>
      </c>
      <c r="CE28" s="1">
        <v>458.92963235100001</v>
      </c>
      <c r="CF28" s="1">
        <v>29.907764975500001</v>
      </c>
      <c r="CG28" s="1">
        <v>7.2222042719599999</v>
      </c>
      <c r="CH28" s="1">
        <v>224.05426402800001</v>
      </c>
      <c r="CI28" s="1">
        <v>40.613626697699999</v>
      </c>
      <c r="CJ28" s="1">
        <v>15.755014643899999</v>
      </c>
      <c r="CK28" s="1">
        <v>169.769534056</v>
      </c>
      <c r="CL28" s="1">
        <v>34.545315337200002</v>
      </c>
      <c r="CM28" s="1">
        <v>144.07653360399999</v>
      </c>
      <c r="CN28" s="1">
        <v>303.36302838300003</v>
      </c>
      <c r="CO28" s="1">
        <v>78.009046229199996</v>
      </c>
      <c r="CP28" s="1">
        <v>163.104165905</v>
      </c>
      <c r="CQ28" s="1">
        <v>139.15513501800001</v>
      </c>
      <c r="CR28" s="1">
        <v>61.455836353400002</v>
      </c>
      <c r="CS28" s="1">
        <v>204.18343611700001</v>
      </c>
      <c r="CT28" s="1">
        <v>24.233154252199999</v>
      </c>
      <c r="CU28" s="1">
        <v>95.437546766099999</v>
      </c>
      <c r="CV28" s="1">
        <v>93.342301940300004</v>
      </c>
      <c r="CW28" s="1">
        <v>124.73185131300001</v>
      </c>
      <c r="CX28" s="1">
        <v>99.425557100099994</v>
      </c>
      <c r="CY28" s="1">
        <v>100.09820997200001</v>
      </c>
      <c r="CZ28" s="1">
        <v>67.779458811400005</v>
      </c>
      <c r="DA28" s="1">
        <v>81.951921039400005</v>
      </c>
      <c r="DB28" s="1">
        <v>24.4481899283</v>
      </c>
      <c r="DC28" s="1">
        <v>4.2063496349299996</v>
      </c>
      <c r="DD28" s="1">
        <v>26.867104961199999</v>
      </c>
      <c r="DE28" s="1">
        <v>148.50310744399999</v>
      </c>
      <c r="DF28" s="1">
        <v>417.16317952200001</v>
      </c>
      <c r="DG28" s="1">
        <v>21.908067223</v>
      </c>
      <c r="DH28" s="1">
        <v>64.727410797399997</v>
      </c>
      <c r="DI28" s="1">
        <v>230.27374429100001</v>
      </c>
      <c r="DJ28" s="1">
        <v>321.64075551600001</v>
      </c>
      <c r="DK28" s="1">
        <v>72.687802946800005</v>
      </c>
      <c r="DL28" s="1">
        <v>14.7346249407</v>
      </c>
      <c r="DM28" s="1">
        <v>42.592552776799998</v>
      </c>
      <c r="DN28" s="1">
        <v>5.5709568112300003</v>
      </c>
      <c r="DO28" s="1">
        <v>9.7478534169900009</v>
      </c>
    </row>
    <row r="29" spans="1:119" s="1" customFormat="1">
      <c r="A29" s="1" t="s">
        <v>9</v>
      </c>
      <c r="B29" s="1">
        <v>2045</v>
      </c>
      <c r="C29" s="1">
        <v>1013.97423412</v>
      </c>
      <c r="D29" s="1">
        <v>331.36876962500003</v>
      </c>
      <c r="E29" s="1">
        <v>350.09425938099997</v>
      </c>
      <c r="F29" s="1">
        <v>90.051605209000002</v>
      </c>
      <c r="G29" s="1">
        <v>116.971078588</v>
      </c>
      <c r="H29" s="1">
        <v>24.743457186699999</v>
      </c>
      <c r="I29" s="1">
        <v>114.78981523500001</v>
      </c>
      <c r="J29" s="1">
        <v>199.95128533299999</v>
      </c>
      <c r="K29" s="1">
        <v>409.10899258500001</v>
      </c>
      <c r="L29" s="1">
        <v>50.460451616699999</v>
      </c>
      <c r="M29" s="1">
        <v>24.6898609703</v>
      </c>
      <c r="N29" s="1">
        <v>25.8657052931</v>
      </c>
      <c r="O29" s="1">
        <v>106.201837844</v>
      </c>
      <c r="P29" s="1">
        <v>173.46416472300001</v>
      </c>
      <c r="Q29" s="1">
        <v>40.445714439500001</v>
      </c>
      <c r="R29" s="1">
        <v>76.832620998400003</v>
      </c>
      <c r="S29" s="1">
        <v>354.07438233900001</v>
      </c>
      <c r="T29" s="1">
        <v>654.38989549600001</v>
      </c>
      <c r="U29" s="1">
        <v>80.472109016700003</v>
      </c>
      <c r="V29" s="1">
        <v>158.58005342300001</v>
      </c>
      <c r="W29" s="1">
        <v>235.13324062000001</v>
      </c>
      <c r="X29" s="1">
        <v>369.54825942299999</v>
      </c>
      <c r="Y29" s="1">
        <v>60.605529383399997</v>
      </c>
      <c r="Z29" s="1">
        <v>1928.37720829</v>
      </c>
      <c r="AA29" s="1">
        <v>21.6461229188</v>
      </c>
      <c r="AB29" s="1">
        <v>47.892902099600001</v>
      </c>
      <c r="AC29" s="1">
        <v>77.905650229900004</v>
      </c>
      <c r="AD29" s="1">
        <v>75.653012843699997</v>
      </c>
      <c r="AE29" s="1">
        <v>217.28995356799999</v>
      </c>
      <c r="AF29" s="1">
        <v>65.392849464999998</v>
      </c>
      <c r="AG29" s="1">
        <v>44.5273041234</v>
      </c>
      <c r="AH29" s="1">
        <v>13.826083453700001</v>
      </c>
      <c r="AI29" s="1">
        <v>3345.8794485600001</v>
      </c>
      <c r="AJ29" s="1">
        <v>1800.76255201</v>
      </c>
      <c r="AK29" s="1">
        <v>85.350911926199998</v>
      </c>
      <c r="AL29" s="1">
        <v>53.855671677399997</v>
      </c>
      <c r="AM29" s="1">
        <v>180.839883673</v>
      </c>
      <c r="AN29" s="1">
        <v>154.44788770700001</v>
      </c>
      <c r="AO29" s="1">
        <v>334.50309139900003</v>
      </c>
      <c r="AP29" s="1">
        <v>14.7047577479</v>
      </c>
      <c r="AQ29" s="1">
        <v>376.80605472799999</v>
      </c>
      <c r="AR29" s="1">
        <v>112.989447355</v>
      </c>
      <c r="AS29" s="1">
        <v>3434.5686302899999</v>
      </c>
      <c r="AT29" s="1">
        <v>93.721522037400007</v>
      </c>
      <c r="AU29" s="1">
        <v>50.519333651799997</v>
      </c>
      <c r="AV29" s="1">
        <v>910.92905227599999</v>
      </c>
      <c r="AW29" s="1">
        <v>232.431623659</v>
      </c>
      <c r="AX29" s="1">
        <v>298.43400667700001</v>
      </c>
      <c r="AY29" s="1">
        <v>15.897457616500001</v>
      </c>
      <c r="AZ29" s="1">
        <v>85.929900024700004</v>
      </c>
      <c r="BA29" s="1">
        <v>125.44661483500001</v>
      </c>
      <c r="BB29" s="1">
        <v>66.928271635200005</v>
      </c>
      <c r="BC29" s="1">
        <v>801.63911816999996</v>
      </c>
      <c r="BD29" s="1">
        <v>345.90310964299999</v>
      </c>
      <c r="BE29" s="1">
        <v>65.478297248399997</v>
      </c>
      <c r="BF29" s="1">
        <v>788.76020172899996</v>
      </c>
      <c r="BG29" s="1">
        <v>36.382697173399997</v>
      </c>
      <c r="BH29" s="1">
        <v>149.92415947999999</v>
      </c>
      <c r="BI29" s="1">
        <v>159.191552317</v>
      </c>
      <c r="BJ29" s="1">
        <v>217.632257001</v>
      </c>
      <c r="BK29" s="1">
        <v>429.13329135700002</v>
      </c>
      <c r="BL29" s="1">
        <v>79.334353003199993</v>
      </c>
      <c r="BM29" s="1">
        <v>102.259186079</v>
      </c>
      <c r="BN29" s="1">
        <v>123.8840445</v>
      </c>
      <c r="BO29" s="1">
        <v>19.0615155966</v>
      </c>
      <c r="BP29" s="1">
        <v>326.22733736800001</v>
      </c>
      <c r="BQ29" s="1">
        <v>16.807765788899999</v>
      </c>
      <c r="BR29" s="1">
        <v>751.74107095099998</v>
      </c>
      <c r="BS29" s="1">
        <v>157.03049542299999</v>
      </c>
      <c r="BT29" s="1">
        <v>499.52053279199998</v>
      </c>
      <c r="BU29" s="1">
        <v>750.68738257699999</v>
      </c>
      <c r="BV29" s="1">
        <v>70.044882064199996</v>
      </c>
      <c r="BW29" s="1">
        <v>236.20287549599999</v>
      </c>
      <c r="BX29" s="1">
        <v>394.90162779000002</v>
      </c>
      <c r="BY29" s="1">
        <v>119.462986464</v>
      </c>
      <c r="BZ29" s="1">
        <v>64.694162709899999</v>
      </c>
      <c r="CA29" s="1">
        <v>30.080236339900001</v>
      </c>
      <c r="CB29" s="1">
        <v>400.36266454100002</v>
      </c>
      <c r="CC29" s="1">
        <v>458.61082718500001</v>
      </c>
      <c r="CD29" s="1">
        <v>381.91512574299998</v>
      </c>
      <c r="CE29" s="1">
        <v>1201.0011172100001</v>
      </c>
      <c r="CF29" s="1">
        <v>66.376328525999995</v>
      </c>
      <c r="CG29" s="1">
        <v>9.1170229623699992</v>
      </c>
      <c r="CH29" s="1">
        <v>451.25853867199999</v>
      </c>
      <c r="CI29" s="1">
        <v>86.150749100300004</v>
      </c>
      <c r="CJ29" s="1">
        <v>8.9556485691900001</v>
      </c>
      <c r="CK29" s="1">
        <v>255.87145910800001</v>
      </c>
      <c r="CL29" s="1">
        <v>18.2857295353</v>
      </c>
      <c r="CM29" s="1">
        <v>234.48876275800001</v>
      </c>
      <c r="CN29" s="1">
        <v>530.63952647600001</v>
      </c>
      <c r="CO29" s="1">
        <v>182.272204114</v>
      </c>
      <c r="CP29" s="1">
        <v>422.10260697000001</v>
      </c>
      <c r="CQ29" s="1">
        <v>120.62510876499999</v>
      </c>
      <c r="CR29" s="1">
        <v>233.094025093</v>
      </c>
      <c r="CS29" s="1">
        <v>260.82954300599999</v>
      </c>
      <c r="CT29" s="1">
        <v>60.8693408687</v>
      </c>
      <c r="CU29" s="1">
        <v>86.330300804299995</v>
      </c>
      <c r="CV29" s="1">
        <v>46.878839174100001</v>
      </c>
      <c r="CW29" s="1">
        <v>135.671002327</v>
      </c>
      <c r="CX29" s="1">
        <v>133.66810424600001</v>
      </c>
      <c r="CY29" s="1">
        <v>138.77904120700001</v>
      </c>
      <c r="CZ29" s="1">
        <v>181.70900357400001</v>
      </c>
      <c r="DA29" s="1">
        <v>178.854225762</v>
      </c>
      <c r="DB29" s="1">
        <v>18.598970758099998</v>
      </c>
      <c r="DC29" s="1">
        <v>8.8848751045299998</v>
      </c>
      <c r="DD29" s="1">
        <v>50.625791615899999</v>
      </c>
      <c r="DE29" s="1">
        <v>239.729931228</v>
      </c>
      <c r="DF29" s="1">
        <v>242.43405154499999</v>
      </c>
      <c r="DG29" s="1">
        <v>39.607748292799997</v>
      </c>
      <c r="DH29" s="1">
        <v>182.64547328</v>
      </c>
      <c r="DI29" s="1">
        <v>279.278314099</v>
      </c>
      <c r="DJ29" s="1">
        <v>861.24153507599999</v>
      </c>
      <c r="DK29" s="1">
        <v>59.641159153099998</v>
      </c>
      <c r="DL29" s="1">
        <v>37.359279062500001</v>
      </c>
      <c r="DM29" s="1">
        <v>40.393366322799999</v>
      </c>
      <c r="DN29" s="1">
        <v>22.917142033099999</v>
      </c>
      <c r="DO29" s="1">
        <v>10.4040907136</v>
      </c>
    </row>
    <row r="30" spans="1:119">
      <c r="A30" t="s">
        <v>10</v>
      </c>
      <c r="B30">
        <v>2021</v>
      </c>
      <c r="C30">
        <v>13.658125</v>
      </c>
      <c r="D30">
        <v>13.658125</v>
      </c>
      <c r="E30">
        <v>13.658125</v>
      </c>
      <c r="F30">
        <v>13.658125</v>
      </c>
      <c r="G30">
        <v>13.658125</v>
      </c>
      <c r="H30">
        <v>13.658125</v>
      </c>
      <c r="I30">
        <v>13.658125</v>
      </c>
      <c r="J30">
        <v>13.658125</v>
      </c>
      <c r="K30">
        <v>13.658125</v>
      </c>
      <c r="L30">
        <v>13.658125</v>
      </c>
      <c r="M30">
        <v>13.658125</v>
      </c>
      <c r="N30">
        <v>13.658125</v>
      </c>
      <c r="O30">
        <v>13.658125</v>
      </c>
      <c r="P30">
        <v>13.658125</v>
      </c>
      <c r="Q30">
        <v>13.658125</v>
      </c>
      <c r="R30">
        <v>13.658125</v>
      </c>
      <c r="S30" s="2">
        <v>13.658125</v>
      </c>
      <c r="T30" s="1">
        <v>13.658125</v>
      </c>
      <c r="U30" s="2">
        <v>13.658125</v>
      </c>
      <c r="V30" s="1">
        <v>13.658125</v>
      </c>
      <c r="W30">
        <v>13.658125</v>
      </c>
      <c r="X30">
        <v>13.658125</v>
      </c>
      <c r="Y30">
        <v>13.658125</v>
      </c>
      <c r="Z30">
        <v>13.658125</v>
      </c>
      <c r="AA30">
        <v>13.658125</v>
      </c>
      <c r="AB30">
        <v>13.658125</v>
      </c>
      <c r="AC30">
        <v>13.658125</v>
      </c>
      <c r="AD30">
        <v>13.658125</v>
      </c>
      <c r="AE30">
        <v>13.658125</v>
      </c>
      <c r="AF30">
        <v>13.658125</v>
      </c>
      <c r="AG30">
        <v>13.658125</v>
      </c>
      <c r="AH30">
        <v>13.658125</v>
      </c>
      <c r="AI30">
        <v>13.658125</v>
      </c>
      <c r="AJ30">
        <v>13.658125</v>
      </c>
      <c r="AK30">
        <v>13.658125</v>
      </c>
      <c r="AL30">
        <v>13.658125</v>
      </c>
      <c r="AM30">
        <v>13.658125</v>
      </c>
      <c r="AN30">
        <v>13.658125</v>
      </c>
      <c r="AO30">
        <v>13.658125</v>
      </c>
      <c r="AP30">
        <v>13.658125</v>
      </c>
      <c r="AQ30">
        <v>13.658125</v>
      </c>
      <c r="AR30">
        <v>13.658125</v>
      </c>
      <c r="AS30">
        <v>13.658125</v>
      </c>
      <c r="AT30">
        <v>13.658125</v>
      </c>
      <c r="AU30">
        <v>13.658125</v>
      </c>
      <c r="AV30">
        <v>13.658125</v>
      </c>
      <c r="AW30">
        <v>13.658125</v>
      </c>
      <c r="AX30">
        <v>13.658125</v>
      </c>
      <c r="AY30">
        <v>13.658125</v>
      </c>
      <c r="AZ30">
        <v>13.658125</v>
      </c>
      <c r="BA30">
        <v>13.658125</v>
      </c>
      <c r="BB30">
        <v>13.658125</v>
      </c>
      <c r="BC30">
        <v>13.658125</v>
      </c>
      <c r="BD30">
        <v>13.658125</v>
      </c>
      <c r="BE30">
        <v>13.658125</v>
      </c>
      <c r="BF30">
        <v>13.658125</v>
      </c>
      <c r="BG30">
        <v>13.658125</v>
      </c>
      <c r="BH30">
        <v>13.658125</v>
      </c>
      <c r="BI30">
        <v>13.658125</v>
      </c>
      <c r="BJ30">
        <v>13.658125</v>
      </c>
      <c r="BK30">
        <v>13.658125</v>
      </c>
      <c r="BL30">
        <v>13.658125</v>
      </c>
      <c r="BM30">
        <v>13.658125</v>
      </c>
      <c r="BN30">
        <v>13.658125</v>
      </c>
      <c r="BO30">
        <v>13.658125</v>
      </c>
      <c r="BP30">
        <v>13.658125</v>
      </c>
      <c r="BQ30">
        <v>13.658125</v>
      </c>
      <c r="BR30">
        <v>13.658125</v>
      </c>
      <c r="BS30">
        <v>13.658125</v>
      </c>
      <c r="BT30">
        <v>13.658125</v>
      </c>
      <c r="BU30">
        <v>13.658125</v>
      </c>
      <c r="BV30">
        <v>13.658125</v>
      </c>
      <c r="BW30">
        <v>13.658125</v>
      </c>
      <c r="BX30">
        <v>13.658125</v>
      </c>
      <c r="BY30">
        <v>13.658125</v>
      </c>
      <c r="BZ30">
        <v>13.658125</v>
      </c>
      <c r="CA30">
        <v>13.658125</v>
      </c>
      <c r="CB30">
        <v>13.658125</v>
      </c>
      <c r="CC30">
        <v>13.658125</v>
      </c>
      <c r="CD30">
        <v>13.658125</v>
      </c>
      <c r="CE30">
        <v>13.658125</v>
      </c>
      <c r="CF30">
        <v>13.658125</v>
      </c>
      <c r="CG30">
        <v>13.658125</v>
      </c>
      <c r="CH30">
        <v>13.658125</v>
      </c>
      <c r="CI30">
        <v>13.658125</v>
      </c>
      <c r="CJ30">
        <v>13.658125</v>
      </c>
      <c r="CK30">
        <v>13.658125</v>
      </c>
      <c r="CL30">
        <v>13.658125</v>
      </c>
      <c r="CM30">
        <v>13.658125</v>
      </c>
      <c r="CN30">
        <v>13.658125</v>
      </c>
      <c r="CO30">
        <v>13.658125</v>
      </c>
      <c r="CP30">
        <v>13.658125</v>
      </c>
      <c r="CQ30">
        <v>13.658125</v>
      </c>
      <c r="CR30">
        <v>13.658125</v>
      </c>
      <c r="CS30">
        <v>13.658125</v>
      </c>
      <c r="CT30">
        <v>13.658125</v>
      </c>
      <c r="CU30">
        <v>13.658125</v>
      </c>
      <c r="CV30">
        <v>13.658125</v>
      </c>
      <c r="CW30">
        <v>13.658125</v>
      </c>
      <c r="CX30">
        <v>13.658125</v>
      </c>
      <c r="CY30">
        <v>13.658125</v>
      </c>
      <c r="CZ30">
        <v>13.658125</v>
      </c>
      <c r="DA30">
        <v>13.658125</v>
      </c>
      <c r="DB30">
        <v>13.658125</v>
      </c>
      <c r="DC30" s="1">
        <v>13.658125</v>
      </c>
      <c r="DD30">
        <v>13.658125</v>
      </c>
      <c r="DE30">
        <v>13.658125</v>
      </c>
      <c r="DF30" s="1">
        <v>13.658125</v>
      </c>
      <c r="DG30" s="2">
        <v>13.658125</v>
      </c>
      <c r="DH30">
        <v>13.658125</v>
      </c>
      <c r="DI30">
        <v>13.658125</v>
      </c>
      <c r="DJ30">
        <v>13.658125</v>
      </c>
      <c r="DK30">
        <v>13.658125</v>
      </c>
      <c r="DL30">
        <v>13.658125</v>
      </c>
      <c r="DM30">
        <v>13.658125</v>
      </c>
      <c r="DN30">
        <v>13.658125</v>
      </c>
      <c r="DO30">
        <v>13.658125</v>
      </c>
    </row>
    <row r="31" spans="1:119">
      <c r="A31" t="s">
        <v>10</v>
      </c>
      <c r="B31">
        <v>2029</v>
      </c>
      <c r="C31">
        <v>13.658125</v>
      </c>
      <c r="D31">
        <v>13.658125</v>
      </c>
      <c r="E31">
        <v>13.658125</v>
      </c>
      <c r="F31">
        <v>13.658125</v>
      </c>
      <c r="G31">
        <v>13.658125</v>
      </c>
      <c r="H31">
        <v>13.658125</v>
      </c>
      <c r="I31">
        <v>13.658125</v>
      </c>
      <c r="J31">
        <v>13.658125</v>
      </c>
      <c r="K31">
        <v>13.658125</v>
      </c>
      <c r="L31">
        <v>13.658125</v>
      </c>
      <c r="M31">
        <v>13.658125</v>
      </c>
      <c r="N31">
        <v>13.658125</v>
      </c>
      <c r="O31">
        <v>13.658125</v>
      </c>
      <c r="P31">
        <v>13.658125</v>
      </c>
      <c r="Q31">
        <v>13.658125</v>
      </c>
      <c r="R31">
        <v>13.658125</v>
      </c>
      <c r="S31" s="2">
        <v>13.658125</v>
      </c>
      <c r="T31" s="1">
        <v>13.658125</v>
      </c>
      <c r="U31" s="2">
        <v>13.658125</v>
      </c>
      <c r="V31" s="1">
        <v>13.658125</v>
      </c>
      <c r="W31">
        <v>13.658125</v>
      </c>
      <c r="X31">
        <v>13.658125</v>
      </c>
      <c r="Y31">
        <v>13.658125</v>
      </c>
      <c r="Z31">
        <v>13.658125</v>
      </c>
      <c r="AA31">
        <v>13.658125</v>
      </c>
      <c r="AB31">
        <v>13.658125</v>
      </c>
      <c r="AC31">
        <v>13.658125</v>
      </c>
      <c r="AD31">
        <v>13.658125</v>
      </c>
      <c r="AE31">
        <v>13.658125</v>
      </c>
      <c r="AF31">
        <v>13.658125</v>
      </c>
      <c r="AG31">
        <v>13.658125</v>
      </c>
      <c r="AH31">
        <v>13.658125</v>
      </c>
      <c r="AI31">
        <v>13.658125</v>
      </c>
      <c r="AJ31">
        <v>13.658125</v>
      </c>
      <c r="AK31">
        <v>13.658125</v>
      </c>
      <c r="AL31">
        <v>13.658125</v>
      </c>
      <c r="AM31">
        <v>13.658125</v>
      </c>
      <c r="AN31">
        <v>13.658125</v>
      </c>
      <c r="AO31">
        <v>13.658125</v>
      </c>
      <c r="AP31">
        <v>13.658125</v>
      </c>
      <c r="AQ31">
        <v>13.658125</v>
      </c>
      <c r="AR31">
        <v>13.658125</v>
      </c>
      <c r="AS31">
        <v>13.658125</v>
      </c>
      <c r="AT31">
        <v>13.658125</v>
      </c>
      <c r="AU31">
        <v>13.658125</v>
      </c>
      <c r="AV31">
        <v>13.658125</v>
      </c>
      <c r="AW31">
        <v>13.658125</v>
      </c>
      <c r="AX31">
        <v>13.658125</v>
      </c>
      <c r="AY31">
        <v>13.658125</v>
      </c>
      <c r="AZ31">
        <v>13.658125</v>
      </c>
      <c r="BA31">
        <v>13.658125</v>
      </c>
      <c r="BB31">
        <v>13.658125</v>
      </c>
      <c r="BC31">
        <v>13.658125</v>
      </c>
      <c r="BD31">
        <v>13.658125</v>
      </c>
      <c r="BE31">
        <v>13.658125</v>
      </c>
      <c r="BF31">
        <v>13.658125</v>
      </c>
      <c r="BG31">
        <v>13.658125</v>
      </c>
      <c r="BH31">
        <v>13.658125</v>
      </c>
      <c r="BI31">
        <v>13.658125</v>
      </c>
      <c r="BJ31">
        <v>13.658125</v>
      </c>
      <c r="BK31">
        <v>13.658125</v>
      </c>
      <c r="BL31">
        <v>13.658125</v>
      </c>
      <c r="BM31">
        <v>13.658125</v>
      </c>
      <c r="BN31">
        <v>13.658125</v>
      </c>
      <c r="BO31">
        <v>13.658125</v>
      </c>
      <c r="BP31">
        <v>13.658125</v>
      </c>
      <c r="BQ31">
        <v>13.658125</v>
      </c>
      <c r="BR31">
        <v>13.658125</v>
      </c>
      <c r="BS31">
        <v>13.658125</v>
      </c>
      <c r="BT31">
        <v>13.658125</v>
      </c>
      <c r="BU31">
        <v>13.658125</v>
      </c>
      <c r="BV31">
        <v>13.658125</v>
      </c>
      <c r="BW31">
        <v>13.658125</v>
      </c>
      <c r="BX31">
        <v>13.658125</v>
      </c>
      <c r="BY31">
        <v>13.658125</v>
      </c>
      <c r="BZ31">
        <v>13.658125</v>
      </c>
      <c r="CA31">
        <v>13.658125</v>
      </c>
      <c r="CB31">
        <v>13.658125</v>
      </c>
      <c r="CC31">
        <v>13.658125</v>
      </c>
      <c r="CD31">
        <v>13.658125</v>
      </c>
      <c r="CE31">
        <v>13.658125</v>
      </c>
      <c r="CF31">
        <v>13.658125</v>
      </c>
      <c r="CG31">
        <v>13.658125</v>
      </c>
      <c r="CH31">
        <v>13.658125</v>
      </c>
      <c r="CI31">
        <v>13.658125</v>
      </c>
      <c r="CJ31">
        <v>13.658125</v>
      </c>
      <c r="CK31">
        <v>13.658125</v>
      </c>
      <c r="CL31">
        <v>13.658125</v>
      </c>
      <c r="CM31">
        <v>13.658125</v>
      </c>
      <c r="CN31">
        <v>13.658125</v>
      </c>
      <c r="CO31">
        <v>13.658125</v>
      </c>
      <c r="CP31">
        <v>13.658125</v>
      </c>
      <c r="CQ31">
        <v>13.658125</v>
      </c>
      <c r="CR31">
        <v>13.658125</v>
      </c>
      <c r="CS31">
        <v>13.658125</v>
      </c>
      <c r="CT31">
        <v>13.658125</v>
      </c>
      <c r="CU31">
        <v>13.658125</v>
      </c>
      <c r="CV31">
        <v>13.658125</v>
      </c>
      <c r="CW31">
        <v>13.658125</v>
      </c>
      <c r="CX31">
        <v>13.658125</v>
      </c>
      <c r="CY31">
        <v>13.658125</v>
      </c>
      <c r="CZ31">
        <v>13.658125</v>
      </c>
      <c r="DA31">
        <v>13.658125</v>
      </c>
      <c r="DB31">
        <v>13.658125</v>
      </c>
      <c r="DC31" s="1">
        <v>13.658125</v>
      </c>
      <c r="DD31">
        <v>13.658125</v>
      </c>
      <c r="DE31">
        <v>13.658125</v>
      </c>
      <c r="DF31" s="1">
        <v>13.658125</v>
      </c>
      <c r="DG31" s="2">
        <v>13.658125</v>
      </c>
      <c r="DH31">
        <v>13.658125</v>
      </c>
      <c r="DI31">
        <v>13.658125</v>
      </c>
      <c r="DJ31">
        <v>13.658125</v>
      </c>
      <c r="DK31">
        <v>13.658125</v>
      </c>
      <c r="DL31">
        <v>13.658125</v>
      </c>
      <c r="DM31">
        <v>13.658125</v>
      </c>
      <c r="DN31">
        <v>13.658125</v>
      </c>
      <c r="DO31">
        <v>13.658125</v>
      </c>
    </row>
    <row r="32" spans="1:119">
      <c r="A32" t="s">
        <v>10</v>
      </c>
      <c r="B32">
        <v>2037</v>
      </c>
      <c r="C32">
        <v>13.658125</v>
      </c>
      <c r="D32">
        <v>13.658125</v>
      </c>
      <c r="E32">
        <v>13.658125</v>
      </c>
      <c r="F32">
        <v>13.658125</v>
      </c>
      <c r="G32">
        <v>13.658125</v>
      </c>
      <c r="H32">
        <v>13.658125</v>
      </c>
      <c r="I32">
        <v>13.658125</v>
      </c>
      <c r="J32">
        <v>13.658125</v>
      </c>
      <c r="K32">
        <v>13.658125</v>
      </c>
      <c r="L32">
        <v>13.658125</v>
      </c>
      <c r="M32">
        <v>13.658125</v>
      </c>
      <c r="N32">
        <v>13.658125</v>
      </c>
      <c r="O32">
        <v>13.658125</v>
      </c>
      <c r="P32">
        <v>13.658125</v>
      </c>
      <c r="Q32">
        <v>13.658125</v>
      </c>
      <c r="R32">
        <v>13.658125</v>
      </c>
      <c r="S32" s="2">
        <v>13.658125</v>
      </c>
      <c r="T32" s="1">
        <v>13.658125</v>
      </c>
      <c r="U32" s="2">
        <v>13.658125</v>
      </c>
      <c r="V32" s="1">
        <v>13.658125</v>
      </c>
      <c r="W32">
        <v>13.658125</v>
      </c>
      <c r="X32">
        <v>13.658125</v>
      </c>
      <c r="Y32">
        <v>13.658125</v>
      </c>
      <c r="Z32">
        <v>13.658125</v>
      </c>
      <c r="AA32">
        <v>13.658125</v>
      </c>
      <c r="AB32">
        <v>13.658125</v>
      </c>
      <c r="AC32">
        <v>13.658125</v>
      </c>
      <c r="AD32">
        <v>13.658125</v>
      </c>
      <c r="AE32">
        <v>13.658125</v>
      </c>
      <c r="AF32">
        <v>13.658125</v>
      </c>
      <c r="AG32">
        <v>13.658125</v>
      </c>
      <c r="AH32">
        <v>13.658125</v>
      </c>
      <c r="AI32">
        <v>13.658125</v>
      </c>
      <c r="AJ32">
        <v>13.658125</v>
      </c>
      <c r="AK32">
        <v>13.658125</v>
      </c>
      <c r="AL32">
        <v>13.658125</v>
      </c>
      <c r="AM32">
        <v>13.658125</v>
      </c>
      <c r="AN32">
        <v>13.658125</v>
      </c>
      <c r="AO32">
        <v>13.658125</v>
      </c>
      <c r="AP32">
        <v>13.658125</v>
      </c>
      <c r="AQ32">
        <v>13.658125</v>
      </c>
      <c r="AR32">
        <v>13.658125</v>
      </c>
      <c r="AS32">
        <v>13.658125</v>
      </c>
      <c r="AT32">
        <v>13.658125</v>
      </c>
      <c r="AU32">
        <v>13.658125</v>
      </c>
      <c r="AV32">
        <v>13.658125</v>
      </c>
      <c r="AW32">
        <v>13.658125</v>
      </c>
      <c r="AX32">
        <v>13.658125</v>
      </c>
      <c r="AY32">
        <v>13.658125</v>
      </c>
      <c r="AZ32">
        <v>13.658125</v>
      </c>
      <c r="BA32">
        <v>13.658125</v>
      </c>
      <c r="BB32">
        <v>13.658125</v>
      </c>
      <c r="BC32">
        <v>13.658125</v>
      </c>
      <c r="BD32">
        <v>13.658125</v>
      </c>
      <c r="BE32">
        <v>13.658125</v>
      </c>
      <c r="BF32">
        <v>13.658125</v>
      </c>
      <c r="BG32">
        <v>13.658125</v>
      </c>
      <c r="BH32">
        <v>13.658125</v>
      </c>
      <c r="BI32">
        <v>13.658125</v>
      </c>
      <c r="BJ32">
        <v>13.658125</v>
      </c>
      <c r="BK32">
        <v>13.658125</v>
      </c>
      <c r="BL32">
        <v>13.658125</v>
      </c>
      <c r="BM32">
        <v>13.658125</v>
      </c>
      <c r="BN32">
        <v>13.658125</v>
      </c>
      <c r="BO32">
        <v>13.658125</v>
      </c>
      <c r="BP32">
        <v>13.658125</v>
      </c>
      <c r="BQ32">
        <v>13.658125</v>
      </c>
      <c r="BR32">
        <v>13.658125</v>
      </c>
      <c r="BS32">
        <v>13.658125</v>
      </c>
      <c r="BT32">
        <v>13.658125</v>
      </c>
      <c r="BU32">
        <v>13.658125</v>
      </c>
      <c r="BV32">
        <v>13.658125</v>
      </c>
      <c r="BW32">
        <v>13.658125</v>
      </c>
      <c r="BX32">
        <v>13.658125</v>
      </c>
      <c r="BY32">
        <v>13.658125</v>
      </c>
      <c r="BZ32">
        <v>13.658125</v>
      </c>
      <c r="CA32">
        <v>13.658125</v>
      </c>
      <c r="CB32">
        <v>13.658125</v>
      </c>
      <c r="CC32">
        <v>13.658125</v>
      </c>
      <c r="CD32">
        <v>13.658125</v>
      </c>
      <c r="CE32">
        <v>13.658125</v>
      </c>
      <c r="CF32">
        <v>13.658125</v>
      </c>
      <c r="CG32">
        <v>13.658125</v>
      </c>
      <c r="CH32">
        <v>13.658125</v>
      </c>
      <c r="CI32">
        <v>13.658125</v>
      </c>
      <c r="CJ32">
        <v>13.658125</v>
      </c>
      <c r="CK32">
        <v>13.658125</v>
      </c>
      <c r="CL32">
        <v>13.658125</v>
      </c>
      <c r="CM32">
        <v>13.658125</v>
      </c>
      <c r="CN32">
        <v>13.658125</v>
      </c>
      <c r="CO32">
        <v>13.658125</v>
      </c>
      <c r="CP32">
        <v>13.658125</v>
      </c>
      <c r="CQ32">
        <v>13.658125</v>
      </c>
      <c r="CR32">
        <v>13.658125</v>
      </c>
      <c r="CS32">
        <v>13.658125</v>
      </c>
      <c r="CT32">
        <v>13.658125</v>
      </c>
      <c r="CU32">
        <v>13.658125</v>
      </c>
      <c r="CV32">
        <v>13.658125</v>
      </c>
      <c r="CW32">
        <v>13.658125</v>
      </c>
      <c r="CX32">
        <v>13.658125</v>
      </c>
      <c r="CY32">
        <v>13.658125</v>
      </c>
      <c r="CZ32">
        <v>13.658125</v>
      </c>
      <c r="DA32">
        <v>13.658125</v>
      </c>
      <c r="DB32">
        <v>13.658125</v>
      </c>
      <c r="DC32" s="1">
        <v>13.658125</v>
      </c>
      <c r="DD32">
        <v>13.658125</v>
      </c>
      <c r="DE32">
        <v>13.658125</v>
      </c>
      <c r="DF32" s="1">
        <v>13.658125</v>
      </c>
      <c r="DG32" s="2">
        <v>13.658125</v>
      </c>
      <c r="DH32">
        <v>13.658125</v>
      </c>
      <c r="DI32">
        <v>13.658125</v>
      </c>
      <c r="DJ32">
        <v>13.658125</v>
      </c>
      <c r="DK32">
        <v>13.658125</v>
      </c>
      <c r="DL32">
        <v>13.658125</v>
      </c>
      <c r="DM32">
        <v>13.658125</v>
      </c>
      <c r="DN32">
        <v>13.658125</v>
      </c>
      <c r="DO32">
        <v>13.658125</v>
      </c>
    </row>
    <row r="33" spans="1:119">
      <c r="A33" t="s">
        <v>10</v>
      </c>
      <c r="B33">
        <v>2045</v>
      </c>
      <c r="C33">
        <v>13.658125</v>
      </c>
      <c r="D33">
        <v>13.658125</v>
      </c>
      <c r="E33">
        <v>13.658125</v>
      </c>
      <c r="F33">
        <v>13.658125</v>
      </c>
      <c r="G33">
        <v>13.658125</v>
      </c>
      <c r="H33">
        <v>13.658125</v>
      </c>
      <c r="I33">
        <v>13.658125</v>
      </c>
      <c r="J33">
        <v>13.658125</v>
      </c>
      <c r="K33">
        <v>13.658125</v>
      </c>
      <c r="L33">
        <v>13.658125</v>
      </c>
      <c r="M33">
        <v>13.658125</v>
      </c>
      <c r="N33">
        <v>13.658125</v>
      </c>
      <c r="O33">
        <v>13.658125</v>
      </c>
      <c r="P33">
        <v>13.658125</v>
      </c>
      <c r="Q33">
        <v>13.658125</v>
      </c>
      <c r="R33">
        <v>13.658125</v>
      </c>
      <c r="S33" s="2">
        <v>13.658125</v>
      </c>
      <c r="T33" s="1">
        <v>13.658125</v>
      </c>
      <c r="U33" s="2">
        <v>13.658125</v>
      </c>
      <c r="V33" s="1">
        <v>13.658125</v>
      </c>
      <c r="W33">
        <v>13.658125</v>
      </c>
      <c r="X33">
        <v>13.658125</v>
      </c>
      <c r="Y33">
        <v>13.658125</v>
      </c>
      <c r="Z33">
        <v>13.658125</v>
      </c>
      <c r="AA33">
        <v>13.658125</v>
      </c>
      <c r="AB33">
        <v>13.658125</v>
      </c>
      <c r="AC33">
        <v>13.658125</v>
      </c>
      <c r="AD33">
        <v>13.658125</v>
      </c>
      <c r="AE33">
        <v>13.658125</v>
      </c>
      <c r="AF33">
        <v>13.658125</v>
      </c>
      <c r="AG33">
        <v>13.658125</v>
      </c>
      <c r="AH33">
        <v>13.658125</v>
      </c>
      <c r="AI33">
        <v>13.658125</v>
      </c>
      <c r="AJ33">
        <v>13.658125</v>
      </c>
      <c r="AK33">
        <v>13.658125</v>
      </c>
      <c r="AL33">
        <v>13.658125</v>
      </c>
      <c r="AM33">
        <v>13.658125</v>
      </c>
      <c r="AN33">
        <v>13.658125</v>
      </c>
      <c r="AO33">
        <v>13.658125</v>
      </c>
      <c r="AP33">
        <v>13.658125</v>
      </c>
      <c r="AQ33">
        <v>13.658125</v>
      </c>
      <c r="AR33">
        <v>13.658125</v>
      </c>
      <c r="AS33">
        <v>13.658125</v>
      </c>
      <c r="AT33">
        <v>13.658125</v>
      </c>
      <c r="AU33">
        <v>13.658125</v>
      </c>
      <c r="AV33">
        <v>13.658125</v>
      </c>
      <c r="AW33">
        <v>13.658125</v>
      </c>
      <c r="AX33">
        <v>13.658125</v>
      </c>
      <c r="AY33">
        <v>13.658125</v>
      </c>
      <c r="AZ33">
        <v>13.658125</v>
      </c>
      <c r="BA33">
        <v>13.658125</v>
      </c>
      <c r="BB33">
        <v>13.658125</v>
      </c>
      <c r="BC33">
        <v>13.658125</v>
      </c>
      <c r="BD33">
        <v>13.658125</v>
      </c>
      <c r="BE33">
        <v>13.658125</v>
      </c>
      <c r="BF33">
        <v>13.658125</v>
      </c>
      <c r="BG33">
        <v>13.658125</v>
      </c>
      <c r="BH33">
        <v>13.658125</v>
      </c>
      <c r="BI33">
        <v>13.658125</v>
      </c>
      <c r="BJ33">
        <v>13.658125</v>
      </c>
      <c r="BK33">
        <v>13.658125</v>
      </c>
      <c r="BL33">
        <v>13.658125</v>
      </c>
      <c r="BM33">
        <v>13.658125</v>
      </c>
      <c r="BN33">
        <v>13.658125</v>
      </c>
      <c r="BO33">
        <v>13.658125</v>
      </c>
      <c r="BP33">
        <v>13.658125</v>
      </c>
      <c r="BQ33">
        <v>13.658125</v>
      </c>
      <c r="BR33">
        <v>13.658125</v>
      </c>
      <c r="BS33">
        <v>13.658125</v>
      </c>
      <c r="BT33">
        <v>13.658125</v>
      </c>
      <c r="BU33">
        <v>13.658125</v>
      </c>
      <c r="BV33">
        <v>13.658125</v>
      </c>
      <c r="BW33">
        <v>13.658125</v>
      </c>
      <c r="BX33">
        <v>13.658125</v>
      </c>
      <c r="BY33">
        <v>13.658125</v>
      </c>
      <c r="BZ33">
        <v>13.658125</v>
      </c>
      <c r="CA33">
        <v>13.658125</v>
      </c>
      <c r="CB33">
        <v>13.658125</v>
      </c>
      <c r="CC33">
        <v>13.658125</v>
      </c>
      <c r="CD33">
        <v>13.658125</v>
      </c>
      <c r="CE33">
        <v>13.658125</v>
      </c>
      <c r="CF33">
        <v>13.658125</v>
      </c>
      <c r="CG33">
        <v>13.658125</v>
      </c>
      <c r="CH33">
        <v>13.658125</v>
      </c>
      <c r="CI33">
        <v>13.658125</v>
      </c>
      <c r="CJ33">
        <v>13.658125</v>
      </c>
      <c r="CK33">
        <v>13.658125</v>
      </c>
      <c r="CL33">
        <v>13.658125</v>
      </c>
      <c r="CM33">
        <v>13.658125</v>
      </c>
      <c r="CN33">
        <v>13.658125</v>
      </c>
      <c r="CO33">
        <v>13.658125</v>
      </c>
      <c r="CP33">
        <v>13.658125</v>
      </c>
      <c r="CQ33">
        <v>13.658125</v>
      </c>
      <c r="CR33">
        <v>13.658125</v>
      </c>
      <c r="CS33">
        <v>13.658125</v>
      </c>
      <c r="CT33">
        <v>13.658125</v>
      </c>
      <c r="CU33">
        <v>13.658125</v>
      </c>
      <c r="CV33">
        <v>13.658125</v>
      </c>
      <c r="CW33">
        <v>13.658125</v>
      </c>
      <c r="CX33">
        <v>13.658125</v>
      </c>
      <c r="CY33">
        <v>13.658125</v>
      </c>
      <c r="CZ33">
        <v>13.658125</v>
      </c>
      <c r="DA33">
        <v>13.658125</v>
      </c>
      <c r="DB33">
        <v>13.658125</v>
      </c>
      <c r="DC33" s="1">
        <v>13.658125</v>
      </c>
      <c r="DD33">
        <v>13.658125</v>
      </c>
      <c r="DE33">
        <v>13.658125</v>
      </c>
      <c r="DF33" s="1">
        <v>13.658125</v>
      </c>
      <c r="DG33" s="2">
        <v>13.658125</v>
      </c>
      <c r="DH33">
        <v>13.658125</v>
      </c>
      <c r="DI33">
        <v>13.658125</v>
      </c>
      <c r="DJ33">
        <v>13.658125</v>
      </c>
      <c r="DK33">
        <v>13.658125</v>
      </c>
      <c r="DL33">
        <v>13.658125</v>
      </c>
      <c r="DM33">
        <v>13.658125</v>
      </c>
      <c r="DN33">
        <v>13.658125</v>
      </c>
      <c r="DO33">
        <v>13.658125</v>
      </c>
    </row>
    <row r="34" spans="1:119">
      <c r="A34" t="s">
        <v>11</v>
      </c>
      <c r="B34">
        <f>B14</f>
        <v>2021</v>
      </c>
      <c r="C34">
        <f>AVERAGE($C14:$DO14)</f>
        <v>13.296434682551112</v>
      </c>
    </row>
    <row r="35" spans="1:119">
      <c r="A35" t="s">
        <v>11</v>
      </c>
      <c r="B35">
        <f t="shared" ref="B35:B37" si="0">B15</f>
        <v>2029</v>
      </c>
      <c r="C35">
        <f t="shared" ref="C35:C37" si="1">AVERAGE($C15:$DO15)</f>
        <v>32.603963028020345</v>
      </c>
    </row>
    <row r="36" spans="1:119">
      <c r="A36" t="s">
        <v>11</v>
      </c>
      <c r="B36">
        <f t="shared" si="0"/>
        <v>2037</v>
      </c>
      <c r="C36">
        <f t="shared" si="1"/>
        <v>109.96454852258675</v>
      </c>
    </row>
    <row r="37" spans="1:119">
      <c r="A37" t="s">
        <v>11</v>
      </c>
      <c r="B37">
        <f t="shared" si="0"/>
        <v>2045</v>
      </c>
      <c r="C37">
        <f t="shared" si="1"/>
        <v>108.37079136685388</v>
      </c>
    </row>
    <row r="38" spans="1:119">
      <c r="A38" t="s">
        <v>26</v>
      </c>
      <c r="B38">
        <f>B26</f>
        <v>2021</v>
      </c>
      <c r="C38">
        <f>AVERAGE($C26:$DO26)</f>
        <v>30.311564382545647</v>
      </c>
    </row>
    <row r="39" spans="1:119">
      <c r="A39" t="s">
        <v>26</v>
      </c>
      <c r="B39">
        <f t="shared" ref="B39:B41" si="2">B27</f>
        <v>2029</v>
      </c>
      <c r="C39">
        <f t="shared" ref="C39:C41" si="3">AVERAGE($C27:$DO27)</f>
        <v>57.817710622316234</v>
      </c>
    </row>
    <row r="40" spans="1:119">
      <c r="A40" t="s">
        <v>26</v>
      </c>
      <c r="B40">
        <f t="shared" si="2"/>
        <v>2037</v>
      </c>
      <c r="C40">
        <f t="shared" si="3"/>
        <v>145.00899696326874</v>
      </c>
    </row>
    <row r="41" spans="1:119">
      <c r="A41" t="s">
        <v>26</v>
      </c>
      <c r="B41">
        <f t="shared" si="2"/>
        <v>2045</v>
      </c>
      <c r="C41">
        <f t="shared" si="3"/>
        <v>294.39092515359124</v>
      </c>
    </row>
    <row r="43" spans="1:119">
      <c r="A43" t="s">
        <v>12</v>
      </c>
      <c r="C43">
        <f>AVERAGE(C14:C17)</f>
        <v>7.9474364730999998</v>
      </c>
      <c r="D43">
        <f t="shared" ref="D43:BO43" si="4">AVERAGE(D14:D17)</f>
        <v>6.0392651016699999</v>
      </c>
      <c r="E43">
        <f t="shared" si="4"/>
        <v>7.5048126366174994</v>
      </c>
      <c r="F43">
        <f t="shared" si="4"/>
        <v>107.150748802875</v>
      </c>
      <c r="G43">
        <f t="shared" si="4"/>
        <v>6.9496635486600002</v>
      </c>
      <c r="H43">
        <f t="shared" si="4"/>
        <v>1425.21319849015</v>
      </c>
      <c r="I43">
        <f t="shared" si="4"/>
        <v>10.67657355249</v>
      </c>
      <c r="J43">
        <f t="shared" si="4"/>
        <v>12.9319893488925</v>
      </c>
      <c r="K43">
        <f t="shared" si="4"/>
        <v>7.8266461162425003</v>
      </c>
      <c r="L43">
        <f t="shared" si="4"/>
        <v>11.925251804137499</v>
      </c>
      <c r="M43">
        <f t="shared" si="4"/>
        <v>15.86489694186</v>
      </c>
      <c r="N43">
        <f t="shared" si="4"/>
        <v>9.7333020752849997</v>
      </c>
      <c r="O43">
        <f t="shared" si="4"/>
        <v>6.6890357021974998</v>
      </c>
      <c r="P43">
        <f t="shared" si="4"/>
        <v>20.280159196372502</v>
      </c>
      <c r="Q43">
        <f t="shared" si="4"/>
        <v>7.1996007835949998</v>
      </c>
      <c r="R43">
        <f t="shared" si="4"/>
        <v>9.0822764687774988</v>
      </c>
      <c r="S43">
        <f t="shared" si="4"/>
        <v>13.00899428846</v>
      </c>
      <c r="T43">
        <f t="shared" si="4"/>
        <v>132.63303823055</v>
      </c>
      <c r="U43">
        <f t="shared" si="4"/>
        <v>46.683170209502499</v>
      </c>
      <c r="V43">
        <f t="shared" si="4"/>
        <v>167.59298662145</v>
      </c>
      <c r="W43">
        <f t="shared" si="4"/>
        <v>146.90825406620002</v>
      </c>
      <c r="X43">
        <f t="shared" si="4"/>
        <v>8.3870312474724997</v>
      </c>
      <c r="Y43">
        <f t="shared" si="4"/>
        <v>10.859974029379998</v>
      </c>
      <c r="Z43">
        <f t="shared" si="4"/>
        <v>7.2553329068650001</v>
      </c>
      <c r="AA43">
        <f t="shared" si="4"/>
        <v>52.987371284380004</v>
      </c>
      <c r="AB43">
        <f t="shared" si="4"/>
        <v>646.10836608882505</v>
      </c>
      <c r="AC43">
        <f t="shared" si="4"/>
        <v>6.2132657107850005</v>
      </c>
      <c r="AD43">
        <f t="shared" si="4"/>
        <v>6.7253115710799998</v>
      </c>
      <c r="AE43">
        <f t="shared" si="4"/>
        <v>6.2768086893800001</v>
      </c>
      <c r="AF43">
        <f t="shared" si="4"/>
        <v>7.8483199798799994</v>
      </c>
      <c r="AG43">
        <f t="shared" si="4"/>
        <v>20.076860340047503</v>
      </c>
      <c r="AH43">
        <f t="shared" si="4"/>
        <v>799.19935047962497</v>
      </c>
      <c r="AI43">
        <f t="shared" si="4"/>
        <v>106.16414565150001</v>
      </c>
      <c r="AJ43">
        <f t="shared" si="4"/>
        <v>7.8618856197150002</v>
      </c>
      <c r="AK43">
        <f t="shared" si="4"/>
        <v>6.5246416241674998</v>
      </c>
      <c r="AL43">
        <f t="shared" si="4"/>
        <v>7.1266715174400002</v>
      </c>
      <c r="AM43">
        <f t="shared" si="4"/>
        <v>6.2615815404274997</v>
      </c>
      <c r="AN43">
        <f t="shared" si="4"/>
        <v>107.138329359975</v>
      </c>
      <c r="AO43">
        <f t="shared" si="4"/>
        <v>416.95509670334752</v>
      </c>
      <c r="AP43">
        <f t="shared" si="4"/>
        <v>14.713763236607502</v>
      </c>
      <c r="AQ43">
        <f t="shared" si="4"/>
        <v>7.4189695584775004</v>
      </c>
      <c r="AR43">
        <f t="shared" si="4"/>
        <v>8.0999376241550003</v>
      </c>
      <c r="AS43">
        <f t="shared" si="4"/>
        <v>8.39738194253</v>
      </c>
      <c r="AT43">
        <f t="shared" si="4"/>
        <v>6.4669290807350004</v>
      </c>
      <c r="AU43">
        <f t="shared" si="4"/>
        <v>123.65574886042501</v>
      </c>
      <c r="AV43">
        <f t="shared" si="4"/>
        <v>6.2797579070000005</v>
      </c>
      <c r="AW43">
        <f t="shared" si="4"/>
        <v>100.16321987812499</v>
      </c>
      <c r="AX43">
        <f t="shared" si="4"/>
        <v>6.6430286698099996</v>
      </c>
      <c r="AY43">
        <f t="shared" si="4"/>
        <v>6.4047983670374995</v>
      </c>
      <c r="AZ43">
        <f t="shared" si="4"/>
        <v>9.5665728903599998</v>
      </c>
      <c r="BA43">
        <f t="shared" si="4"/>
        <v>169.57791973440001</v>
      </c>
      <c r="BB43">
        <f t="shared" si="4"/>
        <v>16.999965630230001</v>
      </c>
      <c r="BC43">
        <f t="shared" si="4"/>
        <v>10.81606114893</v>
      </c>
      <c r="BD43">
        <f t="shared" si="4"/>
        <v>19.4399526482525</v>
      </c>
      <c r="BE43">
        <f t="shared" si="4"/>
        <v>9.9439088674674991</v>
      </c>
      <c r="BF43">
        <f t="shared" si="4"/>
        <v>6.1265248911199999</v>
      </c>
      <c r="BG43">
        <f t="shared" si="4"/>
        <v>6.3801086754699998</v>
      </c>
      <c r="BH43">
        <f t="shared" si="4"/>
        <v>9.2075296731474996</v>
      </c>
      <c r="BI43">
        <f t="shared" si="4"/>
        <v>47.967317309825006</v>
      </c>
      <c r="BJ43">
        <f t="shared" si="4"/>
        <v>7.2902554381474998</v>
      </c>
      <c r="BK43">
        <f t="shared" si="4"/>
        <v>6.8818129191775004</v>
      </c>
      <c r="BL43">
        <f t="shared" si="4"/>
        <v>15.547698480167501</v>
      </c>
      <c r="BM43">
        <f t="shared" si="4"/>
        <v>6.3233321884349998</v>
      </c>
      <c r="BN43">
        <f t="shared" si="4"/>
        <v>14.995855195000001</v>
      </c>
      <c r="BO43">
        <f t="shared" si="4"/>
        <v>61.898049790599998</v>
      </c>
      <c r="BP43">
        <f t="shared" ref="BP43:DO43" si="5">AVERAGE(BP14:BP17)</f>
        <v>7.8515708715499999</v>
      </c>
      <c r="BQ43">
        <f t="shared" si="5"/>
        <v>6.3629949721100001</v>
      </c>
      <c r="BR43">
        <f t="shared" si="5"/>
        <v>10.58920805158</v>
      </c>
      <c r="BS43">
        <f t="shared" si="5"/>
        <v>6.8963234931024999</v>
      </c>
      <c r="BT43">
        <f t="shared" si="5"/>
        <v>7.6067138273474999</v>
      </c>
      <c r="BU43">
        <f t="shared" si="5"/>
        <v>7.7391164431874993</v>
      </c>
      <c r="BV43">
        <f t="shared" si="5"/>
        <v>10.0998320118075</v>
      </c>
      <c r="BW43">
        <f t="shared" si="5"/>
        <v>82.235478117100001</v>
      </c>
      <c r="BX43">
        <f t="shared" si="5"/>
        <v>17.223749319429999</v>
      </c>
      <c r="BY43">
        <f t="shared" si="5"/>
        <v>60.025436210849996</v>
      </c>
      <c r="BZ43">
        <f t="shared" si="5"/>
        <v>13.77432651766</v>
      </c>
      <c r="CA43">
        <f t="shared" si="5"/>
        <v>7.6922734200699994</v>
      </c>
      <c r="CB43">
        <f t="shared" si="5"/>
        <v>6.4087668157975006</v>
      </c>
      <c r="CC43">
        <f t="shared" si="5"/>
        <v>27.935751008775</v>
      </c>
      <c r="CD43">
        <f t="shared" si="5"/>
        <v>16.746311753672501</v>
      </c>
      <c r="CE43">
        <f t="shared" si="5"/>
        <v>550.79370695397506</v>
      </c>
      <c r="CF43">
        <f t="shared" si="5"/>
        <v>9.1938560102575</v>
      </c>
      <c r="CG43">
        <f t="shared" si="5"/>
        <v>51.204858803975</v>
      </c>
      <c r="CH43">
        <f t="shared" si="5"/>
        <v>12.18630391336</v>
      </c>
      <c r="CI43">
        <f t="shared" si="5"/>
        <v>8.5929851053475002</v>
      </c>
      <c r="CJ43">
        <f t="shared" si="5"/>
        <v>10.820318056515001</v>
      </c>
      <c r="CK43">
        <f t="shared" si="5"/>
        <v>99.544135430150007</v>
      </c>
      <c r="CL43">
        <f t="shared" si="5"/>
        <v>12.047772375015001</v>
      </c>
      <c r="CM43">
        <f t="shared" si="5"/>
        <v>7.7169754878875008</v>
      </c>
      <c r="CN43">
        <f t="shared" si="5"/>
        <v>10.7828463296275</v>
      </c>
      <c r="CO43">
        <f t="shared" si="5"/>
        <v>17.537583335855</v>
      </c>
      <c r="CP43">
        <f t="shared" si="5"/>
        <v>13.033625636342499</v>
      </c>
      <c r="CQ43">
        <f t="shared" si="5"/>
        <v>9.2300790121425003</v>
      </c>
      <c r="CR43">
        <f t="shared" si="5"/>
        <v>36.285082864652502</v>
      </c>
      <c r="CS43">
        <f t="shared" si="5"/>
        <v>6.9386578974349993</v>
      </c>
      <c r="CT43">
        <f t="shared" si="5"/>
        <v>9.8836912237324999</v>
      </c>
      <c r="CU43">
        <f t="shared" si="5"/>
        <v>7.0326597230200001</v>
      </c>
      <c r="CV43">
        <f t="shared" si="5"/>
        <v>16.076526530599999</v>
      </c>
      <c r="CW43">
        <f t="shared" si="5"/>
        <v>7.2706970453624997</v>
      </c>
      <c r="CX43">
        <f t="shared" si="5"/>
        <v>12.187352116760001</v>
      </c>
      <c r="CY43">
        <f t="shared" si="5"/>
        <v>113.11492805718501</v>
      </c>
      <c r="CZ43">
        <f t="shared" si="5"/>
        <v>21.06453841155</v>
      </c>
      <c r="DA43">
        <f t="shared" si="5"/>
        <v>142.990645679675</v>
      </c>
      <c r="DB43">
        <f t="shared" si="5"/>
        <v>9.5315042135850003</v>
      </c>
      <c r="DC43">
        <f t="shared" si="5"/>
        <v>9.7921027318424994</v>
      </c>
      <c r="DD43">
        <f t="shared" si="5"/>
        <v>7.3861994558325001</v>
      </c>
      <c r="DE43">
        <f t="shared" si="5"/>
        <v>6.2542752414224996</v>
      </c>
      <c r="DF43">
        <f t="shared" si="5"/>
        <v>7.1731320590824996</v>
      </c>
      <c r="DG43">
        <f t="shared" si="5"/>
        <v>6.1130020788325004</v>
      </c>
      <c r="DH43">
        <f t="shared" si="5"/>
        <v>44.58585308024</v>
      </c>
      <c r="DI43">
        <f t="shared" si="5"/>
        <v>7.6925989804275003</v>
      </c>
      <c r="DJ43">
        <f t="shared" si="5"/>
        <v>624.90000225065</v>
      </c>
      <c r="DK43">
        <f t="shared" si="5"/>
        <v>189.24297322769999</v>
      </c>
      <c r="DL43">
        <f t="shared" si="5"/>
        <v>19.974423122224998</v>
      </c>
      <c r="DM43">
        <f t="shared" si="5"/>
        <v>6.242387189305</v>
      </c>
      <c r="DN43">
        <f t="shared" si="5"/>
        <v>16.388867966887499</v>
      </c>
      <c r="DO43">
        <f t="shared" si="5"/>
        <v>181.88227895885001</v>
      </c>
    </row>
    <row r="44" spans="1:119">
      <c r="A44" t="s">
        <v>13</v>
      </c>
      <c r="C44">
        <f>AVERAGE(C26:C29)</f>
        <v>424.14235330367501</v>
      </c>
      <c r="D44">
        <f t="shared" ref="D44:BO44" si="6">AVERAGE(D26:D29)</f>
        <v>134.18721249627501</v>
      </c>
      <c r="E44">
        <f t="shared" si="6"/>
        <v>226.64938830914997</v>
      </c>
      <c r="F44">
        <f t="shared" si="6"/>
        <v>38.860295721525006</v>
      </c>
      <c r="G44">
        <f t="shared" si="6"/>
        <v>48.395304193499996</v>
      </c>
      <c r="H44">
        <f t="shared" si="6"/>
        <v>26.345846796849997</v>
      </c>
      <c r="I44">
        <f t="shared" si="6"/>
        <v>44.154063817874999</v>
      </c>
      <c r="J44">
        <f t="shared" si="6"/>
        <v>98.701691968399999</v>
      </c>
      <c r="K44">
        <f t="shared" si="6"/>
        <v>228.45291902565</v>
      </c>
      <c r="L44">
        <f t="shared" si="6"/>
        <v>41.180867689999999</v>
      </c>
      <c r="M44">
        <f t="shared" si="6"/>
        <v>32.898101281099997</v>
      </c>
      <c r="N44">
        <f t="shared" si="6"/>
        <v>14.82198965956</v>
      </c>
      <c r="O44">
        <f t="shared" si="6"/>
        <v>78.099828076600005</v>
      </c>
      <c r="P44">
        <f t="shared" si="6"/>
        <v>78.390360918699997</v>
      </c>
      <c r="Q44">
        <f t="shared" si="6"/>
        <v>26.9958822121</v>
      </c>
      <c r="R44">
        <f t="shared" si="6"/>
        <v>55.448001880749999</v>
      </c>
      <c r="S44">
        <f t="shared" si="6"/>
        <v>148.95115114045001</v>
      </c>
      <c r="T44">
        <f t="shared" si="6"/>
        <v>211.1640750416</v>
      </c>
      <c r="U44">
        <f t="shared" si="6"/>
        <v>42.233264427400002</v>
      </c>
      <c r="V44">
        <f t="shared" si="6"/>
        <v>59.979191124300002</v>
      </c>
      <c r="W44">
        <f t="shared" si="6"/>
        <v>239.46338484775001</v>
      </c>
      <c r="X44">
        <f t="shared" si="6"/>
        <v>148.65292055340001</v>
      </c>
      <c r="Y44">
        <f t="shared" si="6"/>
        <v>40.358467261575001</v>
      </c>
      <c r="Z44">
        <f t="shared" si="6"/>
        <v>787.58576910775002</v>
      </c>
      <c r="AA44">
        <f t="shared" si="6"/>
        <v>30.90719503735</v>
      </c>
      <c r="AB44">
        <f t="shared" si="6"/>
        <v>27.790871797874999</v>
      </c>
      <c r="AC44">
        <f t="shared" si="6"/>
        <v>54.789627760024999</v>
      </c>
      <c r="AD44">
        <f t="shared" si="6"/>
        <v>40.855448357249998</v>
      </c>
      <c r="AE44">
        <f t="shared" si="6"/>
        <v>104.13226216847499</v>
      </c>
      <c r="AF44">
        <f t="shared" si="6"/>
        <v>52.844321364324998</v>
      </c>
      <c r="AG44">
        <f t="shared" si="6"/>
        <v>30.193358969275</v>
      </c>
      <c r="AH44">
        <f t="shared" si="6"/>
        <v>30.719566744174998</v>
      </c>
      <c r="AI44">
        <f t="shared" si="6"/>
        <v>1106.7134717905501</v>
      </c>
      <c r="AJ44">
        <f t="shared" si="6"/>
        <v>712.69091957299997</v>
      </c>
      <c r="AK44">
        <f t="shared" si="6"/>
        <v>31.671775679509999</v>
      </c>
      <c r="AL44">
        <f t="shared" si="6"/>
        <v>27.329517574724999</v>
      </c>
      <c r="AM44">
        <f t="shared" si="6"/>
        <v>90.773667187949997</v>
      </c>
      <c r="AN44">
        <f t="shared" si="6"/>
        <v>127.821375061775</v>
      </c>
      <c r="AO44">
        <f t="shared" si="6"/>
        <v>191.26020525057501</v>
      </c>
      <c r="AP44">
        <f t="shared" si="6"/>
        <v>10.080600295</v>
      </c>
      <c r="AQ44">
        <f t="shared" si="6"/>
        <v>149.879689601975</v>
      </c>
      <c r="AR44">
        <f t="shared" si="6"/>
        <v>59.46090833705</v>
      </c>
      <c r="AS44">
        <f t="shared" si="6"/>
        <v>1190.2406683366748</v>
      </c>
      <c r="AT44">
        <f t="shared" si="6"/>
        <v>77.554478404825005</v>
      </c>
      <c r="AU44">
        <f t="shared" si="6"/>
        <v>34.41851372715</v>
      </c>
      <c r="AV44">
        <f t="shared" si="6"/>
        <v>349.61683535192498</v>
      </c>
      <c r="AW44">
        <f t="shared" si="6"/>
        <v>119.688159458125</v>
      </c>
      <c r="AX44">
        <f t="shared" si="6"/>
        <v>175.331591495575</v>
      </c>
      <c r="AY44">
        <f t="shared" si="6"/>
        <v>11.810758604725001</v>
      </c>
      <c r="AZ44">
        <f t="shared" si="6"/>
        <v>64.881917189924991</v>
      </c>
      <c r="BA44">
        <f t="shared" si="6"/>
        <v>64.368969822400004</v>
      </c>
      <c r="BB44">
        <f t="shared" si="6"/>
        <v>27.493293904400002</v>
      </c>
      <c r="BC44">
        <f t="shared" si="6"/>
        <v>375.44508392172497</v>
      </c>
      <c r="BD44">
        <f t="shared" si="6"/>
        <v>347.14964677337503</v>
      </c>
      <c r="BE44">
        <f t="shared" si="6"/>
        <v>42.95243894955</v>
      </c>
      <c r="BF44">
        <f t="shared" si="6"/>
        <v>282.58971799580002</v>
      </c>
      <c r="BG44">
        <f t="shared" si="6"/>
        <v>24.557471632174998</v>
      </c>
      <c r="BH44">
        <f t="shared" si="6"/>
        <v>78.457754224425003</v>
      </c>
      <c r="BI44">
        <f t="shared" si="6"/>
        <v>90.427088220000002</v>
      </c>
      <c r="BJ44">
        <f t="shared" si="6"/>
        <v>84.687186080549992</v>
      </c>
      <c r="BK44">
        <f t="shared" si="6"/>
        <v>204.212277449775</v>
      </c>
      <c r="BL44">
        <f t="shared" si="6"/>
        <v>44.306738768774999</v>
      </c>
      <c r="BM44">
        <f t="shared" si="6"/>
        <v>45.917488224924995</v>
      </c>
      <c r="BN44">
        <f t="shared" si="6"/>
        <v>62.843980818925004</v>
      </c>
      <c r="BO44">
        <f t="shared" si="6"/>
        <v>15.121138988527502</v>
      </c>
      <c r="BP44">
        <f t="shared" ref="BP44:DO44" si="7">AVERAGE(BP26:BP29)</f>
        <v>115.98520189435</v>
      </c>
      <c r="BQ44">
        <f t="shared" si="7"/>
        <v>12.2907375934725</v>
      </c>
      <c r="BR44">
        <f t="shared" si="7"/>
        <v>266.71086233565001</v>
      </c>
      <c r="BS44">
        <f t="shared" si="7"/>
        <v>86.521206033200002</v>
      </c>
      <c r="BT44">
        <f t="shared" si="7"/>
        <v>242.98315284467498</v>
      </c>
      <c r="BU44">
        <f t="shared" si="7"/>
        <v>295.556850094975</v>
      </c>
      <c r="BV44">
        <f t="shared" si="7"/>
        <v>35.632070361724999</v>
      </c>
      <c r="BW44">
        <f t="shared" si="7"/>
        <v>102.27461622929999</v>
      </c>
      <c r="BX44">
        <f t="shared" si="7"/>
        <v>168.602202230725</v>
      </c>
      <c r="BY44">
        <f t="shared" si="7"/>
        <v>54.787449203985005</v>
      </c>
      <c r="BZ44">
        <f t="shared" si="7"/>
        <v>64.699101606950009</v>
      </c>
      <c r="CA44">
        <f t="shared" si="7"/>
        <v>23.874034014974999</v>
      </c>
      <c r="CB44">
        <f t="shared" si="7"/>
        <v>189.20161521732501</v>
      </c>
      <c r="CC44">
        <f t="shared" si="7"/>
        <v>140.90235075152501</v>
      </c>
      <c r="CD44">
        <f t="shared" si="7"/>
        <v>125.9375335141</v>
      </c>
      <c r="CE44">
        <f t="shared" si="7"/>
        <v>452.78212958612505</v>
      </c>
      <c r="CF44">
        <f t="shared" si="7"/>
        <v>30.296404767887498</v>
      </c>
      <c r="CG44">
        <f t="shared" si="7"/>
        <v>12.0477000520325</v>
      </c>
      <c r="CH44">
        <f t="shared" si="7"/>
        <v>184.15106225962501</v>
      </c>
      <c r="CI44">
        <f t="shared" si="7"/>
        <v>48.030863207825</v>
      </c>
      <c r="CJ44">
        <f t="shared" si="7"/>
        <v>16.6911836930975</v>
      </c>
      <c r="CK44">
        <f t="shared" si="7"/>
        <v>124.20665559995001</v>
      </c>
      <c r="CL44">
        <f t="shared" si="7"/>
        <v>27.831416648474999</v>
      </c>
      <c r="CM44">
        <f t="shared" si="7"/>
        <v>121.45247027627499</v>
      </c>
      <c r="CN44">
        <f t="shared" si="7"/>
        <v>247.116645421925</v>
      </c>
      <c r="CO44">
        <f t="shared" si="7"/>
        <v>90.447473803599991</v>
      </c>
      <c r="CP44">
        <f t="shared" si="7"/>
        <v>173.995906956575</v>
      </c>
      <c r="CQ44">
        <f t="shared" si="7"/>
        <v>87.663314288275004</v>
      </c>
      <c r="CR44">
        <f t="shared" si="7"/>
        <v>88.723792361124993</v>
      </c>
      <c r="CS44">
        <f t="shared" si="7"/>
        <v>135.71662399727501</v>
      </c>
      <c r="CT44">
        <f t="shared" si="7"/>
        <v>28.962949998100001</v>
      </c>
      <c r="CU44">
        <f t="shared" si="7"/>
        <v>68.595265710350006</v>
      </c>
      <c r="CV44">
        <f t="shared" si="7"/>
        <v>71.315515752599993</v>
      </c>
      <c r="CW44">
        <f t="shared" si="7"/>
        <v>87.6498928436</v>
      </c>
      <c r="CX44">
        <f t="shared" si="7"/>
        <v>109.01473977227499</v>
      </c>
      <c r="CY44">
        <f t="shared" si="7"/>
        <v>68.966482279899992</v>
      </c>
      <c r="CZ44">
        <f t="shared" si="7"/>
        <v>81.902228120125002</v>
      </c>
      <c r="DA44">
        <f t="shared" si="7"/>
        <v>78.094609037850006</v>
      </c>
      <c r="DB44">
        <f t="shared" si="7"/>
        <v>20.138722450224996</v>
      </c>
      <c r="DC44">
        <f t="shared" si="7"/>
        <v>7.3792920212275002</v>
      </c>
      <c r="DD44">
        <f t="shared" si="7"/>
        <v>25.819852127224998</v>
      </c>
      <c r="DE44">
        <f t="shared" si="7"/>
        <v>133.43961198677499</v>
      </c>
      <c r="DF44">
        <f t="shared" si="7"/>
        <v>181.352244791625</v>
      </c>
      <c r="DG44">
        <f t="shared" si="7"/>
        <v>31.876694822775001</v>
      </c>
      <c r="DH44">
        <f t="shared" si="7"/>
        <v>70.282631528525002</v>
      </c>
      <c r="DI44">
        <f t="shared" si="7"/>
        <v>149.096662990775</v>
      </c>
      <c r="DJ44">
        <f t="shared" si="7"/>
        <v>346.74688926477501</v>
      </c>
      <c r="DK44">
        <f t="shared" si="7"/>
        <v>49.867845762125008</v>
      </c>
      <c r="DL44">
        <f t="shared" si="7"/>
        <v>22.86100588575</v>
      </c>
      <c r="DM44">
        <f t="shared" si="7"/>
        <v>31.005919457650002</v>
      </c>
      <c r="DN44">
        <f t="shared" si="7"/>
        <v>18.574763596482498</v>
      </c>
      <c r="DO44">
        <f t="shared" si="7"/>
        <v>10.072257011587501</v>
      </c>
    </row>
    <row r="45" spans="1:119">
      <c r="A45" t="s">
        <v>24</v>
      </c>
      <c r="C45">
        <f t="shared" ref="C45:AH45" si="8">RANK(C43, $C43:$DO43, 1)</f>
        <v>43</v>
      </c>
      <c r="D45">
        <f t="shared" si="8"/>
        <v>1</v>
      </c>
      <c r="E45">
        <f t="shared" si="8"/>
        <v>33</v>
      </c>
      <c r="F45">
        <f t="shared" si="8"/>
        <v>102</v>
      </c>
      <c r="G45">
        <f t="shared" si="8"/>
        <v>23</v>
      </c>
      <c r="H45">
        <f t="shared" si="8"/>
        <v>117</v>
      </c>
      <c r="I45">
        <f t="shared" si="8"/>
        <v>60</v>
      </c>
      <c r="J45">
        <f t="shared" si="8"/>
        <v>69</v>
      </c>
      <c r="K45">
        <f t="shared" si="8"/>
        <v>39</v>
      </c>
      <c r="L45">
        <f t="shared" si="8"/>
        <v>65</v>
      </c>
      <c r="M45">
        <f t="shared" si="8"/>
        <v>76</v>
      </c>
      <c r="N45">
        <f t="shared" si="8"/>
        <v>54</v>
      </c>
      <c r="O45">
        <f t="shared" si="8"/>
        <v>18</v>
      </c>
      <c r="P45">
        <f t="shared" si="8"/>
        <v>86</v>
      </c>
      <c r="Q45">
        <f t="shared" si="8"/>
        <v>27</v>
      </c>
      <c r="R45">
        <f t="shared" si="8"/>
        <v>48</v>
      </c>
      <c r="S45">
        <f t="shared" si="8"/>
        <v>70</v>
      </c>
      <c r="T45">
        <f t="shared" si="8"/>
        <v>105</v>
      </c>
      <c r="U45">
        <f t="shared" si="8"/>
        <v>91</v>
      </c>
      <c r="V45">
        <f t="shared" si="8"/>
        <v>108</v>
      </c>
      <c r="W45">
        <f t="shared" si="8"/>
        <v>107</v>
      </c>
      <c r="X45">
        <f t="shared" si="8"/>
        <v>45</v>
      </c>
      <c r="Y45">
        <f t="shared" si="8"/>
        <v>64</v>
      </c>
      <c r="Z45">
        <f t="shared" si="8"/>
        <v>28</v>
      </c>
      <c r="AA45">
        <f t="shared" si="8"/>
        <v>94</v>
      </c>
      <c r="AB45">
        <f t="shared" si="8"/>
        <v>115</v>
      </c>
      <c r="AC45">
        <f t="shared" si="8"/>
        <v>4</v>
      </c>
      <c r="AD45">
        <f t="shared" si="8"/>
        <v>19</v>
      </c>
      <c r="AE45">
        <f t="shared" si="8"/>
        <v>8</v>
      </c>
      <c r="AF45">
        <f t="shared" si="8"/>
        <v>40</v>
      </c>
      <c r="AG45">
        <f t="shared" si="8"/>
        <v>85</v>
      </c>
      <c r="AH45">
        <f t="shared" si="8"/>
        <v>116</v>
      </c>
      <c r="AI45">
        <f t="shared" ref="AI45:BN45" si="9">RANK(AI43, $C43:$DO43, 1)</f>
        <v>100</v>
      </c>
      <c r="AJ45">
        <f t="shared" si="9"/>
        <v>42</v>
      </c>
      <c r="AK45">
        <f t="shared" si="9"/>
        <v>16</v>
      </c>
      <c r="AL45">
        <f t="shared" si="9"/>
        <v>25</v>
      </c>
      <c r="AM45">
        <f t="shared" si="9"/>
        <v>7</v>
      </c>
      <c r="AN45">
        <f t="shared" si="9"/>
        <v>101</v>
      </c>
      <c r="AO45">
        <f t="shared" si="9"/>
        <v>112</v>
      </c>
      <c r="AP45">
        <f t="shared" si="9"/>
        <v>73</v>
      </c>
      <c r="AQ45">
        <f t="shared" si="9"/>
        <v>32</v>
      </c>
      <c r="AR45">
        <f t="shared" si="9"/>
        <v>44</v>
      </c>
      <c r="AS45">
        <f t="shared" si="9"/>
        <v>46</v>
      </c>
      <c r="AT45">
        <f t="shared" si="9"/>
        <v>15</v>
      </c>
      <c r="AU45">
        <f t="shared" si="9"/>
        <v>104</v>
      </c>
      <c r="AV45">
        <f t="shared" si="9"/>
        <v>9</v>
      </c>
      <c r="AW45">
        <f t="shared" si="9"/>
        <v>99</v>
      </c>
      <c r="AX45">
        <f t="shared" si="9"/>
        <v>17</v>
      </c>
      <c r="AY45">
        <f t="shared" si="9"/>
        <v>13</v>
      </c>
      <c r="AZ45">
        <f t="shared" si="9"/>
        <v>53</v>
      </c>
      <c r="BA45">
        <f t="shared" si="9"/>
        <v>109</v>
      </c>
      <c r="BB45">
        <f t="shared" si="9"/>
        <v>80</v>
      </c>
      <c r="BC45">
        <f t="shared" si="9"/>
        <v>62</v>
      </c>
      <c r="BD45">
        <f t="shared" si="9"/>
        <v>83</v>
      </c>
      <c r="BE45">
        <f t="shared" si="9"/>
        <v>57</v>
      </c>
      <c r="BF45">
        <f t="shared" si="9"/>
        <v>3</v>
      </c>
      <c r="BG45">
        <f t="shared" si="9"/>
        <v>12</v>
      </c>
      <c r="BH45">
        <f t="shared" si="9"/>
        <v>50</v>
      </c>
      <c r="BI45">
        <f t="shared" si="9"/>
        <v>92</v>
      </c>
      <c r="BJ45">
        <f t="shared" si="9"/>
        <v>30</v>
      </c>
      <c r="BK45">
        <f t="shared" si="9"/>
        <v>20</v>
      </c>
      <c r="BL45">
        <f t="shared" si="9"/>
        <v>75</v>
      </c>
      <c r="BM45">
        <f t="shared" si="9"/>
        <v>10</v>
      </c>
      <c r="BN45">
        <f t="shared" si="9"/>
        <v>74</v>
      </c>
      <c r="BO45">
        <f t="shared" ref="BO45:CT45" si="10">RANK(BO43, $C43:$DO43, 1)</f>
        <v>96</v>
      </c>
      <c r="BP45">
        <f t="shared" si="10"/>
        <v>41</v>
      </c>
      <c r="BQ45">
        <f t="shared" si="10"/>
        <v>11</v>
      </c>
      <c r="BR45">
        <f t="shared" si="10"/>
        <v>59</v>
      </c>
      <c r="BS45">
        <f t="shared" si="10"/>
        <v>21</v>
      </c>
      <c r="BT45">
        <f t="shared" si="10"/>
        <v>34</v>
      </c>
      <c r="BU45">
        <f t="shared" si="10"/>
        <v>38</v>
      </c>
      <c r="BV45">
        <f t="shared" si="10"/>
        <v>58</v>
      </c>
      <c r="BW45">
        <f t="shared" si="10"/>
        <v>97</v>
      </c>
      <c r="BX45">
        <f t="shared" si="10"/>
        <v>81</v>
      </c>
      <c r="BY45">
        <f t="shared" si="10"/>
        <v>95</v>
      </c>
      <c r="BZ45">
        <f t="shared" si="10"/>
        <v>72</v>
      </c>
      <c r="CA45">
        <f t="shared" si="10"/>
        <v>35</v>
      </c>
      <c r="CB45">
        <f t="shared" si="10"/>
        <v>14</v>
      </c>
      <c r="CC45">
        <f t="shared" si="10"/>
        <v>88</v>
      </c>
      <c r="CD45">
        <f t="shared" si="10"/>
        <v>79</v>
      </c>
      <c r="CE45">
        <f t="shared" si="10"/>
        <v>113</v>
      </c>
      <c r="CF45">
        <f t="shared" si="10"/>
        <v>49</v>
      </c>
      <c r="CG45">
        <f t="shared" si="10"/>
        <v>93</v>
      </c>
      <c r="CH45">
        <f t="shared" si="10"/>
        <v>67</v>
      </c>
      <c r="CI45">
        <f t="shared" si="10"/>
        <v>47</v>
      </c>
      <c r="CJ45">
        <f t="shared" si="10"/>
        <v>63</v>
      </c>
      <c r="CK45">
        <f t="shared" si="10"/>
        <v>98</v>
      </c>
      <c r="CL45">
        <f t="shared" si="10"/>
        <v>66</v>
      </c>
      <c r="CM45">
        <f t="shared" si="10"/>
        <v>37</v>
      </c>
      <c r="CN45">
        <f t="shared" si="10"/>
        <v>61</v>
      </c>
      <c r="CO45">
        <f t="shared" si="10"/>
        <v>82</v>
      </c>
      <c r="CP45">
        <f t="shared" si="10"/>
        <v>71</v>
      </c>
      <c r="CQ45">
        <f t="shared" si="10"/>
        <v>51</v>
      </c>
      <c r="CR45">
        <f t="shared" si="10"/>
        <v>89</v>
      </c>
      <c r="CS45">
        <f t="shared" si="10"/>
        <v>22</v>
      </c>
      <c r="CT45">
        <f t="shared" si="10"/>
        <v>56</v>
      </c>
      <c r="CU45">
        <f t="shared" ref="CU45:DO45" si="11">RANK(CU43, $C43:$DO43, 1)</f>
        <v>24</v>
      </c>
      <c r="CV45">
        <f t="shared" si="11"/>
        <v>77</v>
      </c>
      <c r="CW45">
        <f t="shared" si="11"/>
        <v>29</v>
      </c>
      <c r="CX45">
        <f t="shared" si="11"/>
        <v>68</v>
      </c>
      <c r="CY45">
        <f t="shared" si="11"/>
        <v>103</v>
      </c>
      <c r="CZ45">
        <f t="shared" si="11"/>
        <v>87</v>
      </c>
      <c r="DA45">
        <f t="shared" si="11"/>
        <v>106</v>
      </c>
      <c r="DB45">
        <f t="shared" si="11"/>
        <v>52</v>
      </c>
      <c r="DC45">
        <f t="shared" si="11"/>
        <v>55</v>
      </c>
      <c r="DD45">
        <f t="shared" si="11"/>
        <v>31</v>
      </c>
      <c r="DE45">
        <f t="shared" si="11"/>
        <v>6</v>
      </c>
      <c r="DF45">
        <f t="shared" si="11"/>
        <v>26</v>
      </c>
      <c r="DG45">
        <f t="shared" si="11"/>
        <v>2</v>
      </c>
      <c r="DH45">
        <f t="shared" si="11"/>
        <v>90</v>
      </c>
      <c r="DI45">
        <f t="shared" si="11"/>
        <v>36</v>
      </c>
      <c r="DJ45">
        <f t="shared" si="11"/>
        <v>114</v>
      </c>
      <c r="DK45">
        <f t="shared" si="11"/>
        <v>111</v>
      </c>
      <c r="DL45">
        <f t="shared" si="11"/>
        <v>84</v>
      </c>
      <c r="DM45">
        <f t="shared" si="11"/>
        <v>5</v>
      </c>
      <c r="DN45">
        <f t="shared" si="11"/>
        <v>78</v>
      </c>
      <c r="DO45">
        <f t="shared" si="11"/>
        <v>110</v>
      </c>
    </row>
    <row r="46" spans="1:119">
      <c r="A46" t="s">
        <v>25</v>
      </c>
      <c r="C46">
        <f>RANK(C44, $C44:$DO44, 1)</f>
        <v>112</v>
      </c>
      <c r="D46">
        <f t="shared" ref="D45:BO46" si="12">RANK(D44, $C44:$DO44, 1)</f>
        <v>84</v>
      </c>
      <c r="E46">
        <f t="shared" si="12"/>
        <v>100</v>
      </c>
      <c r="F46">
        <f t="shared" si="12"/>
        <v>33</v>
      </c>
      <c r="G46">
        <f t="shared" si="12"/>
        <v>43</v>
      </c>
      <c r="H46">
        <f t="shared" si="12"/>
        <v>16</v>
      </c>
      <c r="I46">
        <f t="shared" si="12"/>
        <v>39</v>
      </c>
      <c r="J46">
        <f t="shared" si="12"/>
        <v>73</v>
      </c>
      <c r="K46">
        <f t="shared" si="12"/>
        <v>101</v>
      </c>
      <c r="L46">
        <f t="shared" si="12"/>
        <v>36</v>
      </c>
      <c r="M46">
        <f t="shared" si="12"/>
        <v>30</v>
      </c>
      <c r="N46">
        <f t="shared" si="12"/>
        <v>7</v>
      </c>
      <c r="O46">
        <f t="shared" si="12"/>
        <v>61</v>
      </c>
      <c r="P46">
        <f t="shared" si="12"/>
        <v>62</v>
      </c>
      <c r="Q46">
        <f t="shared" si="12"/>
        <v>17</v>
      </c>
      <c r="R46">
        <f t="shared" si="12"/>
        <v>48</v>
      </c>
      <c r="S46">
        <f t="shared" si="12"/>
        <v>88</v>
      </c>
      <c r="T46">
        <f t="shared" si="12"/>
        <v>99</v>
      </c>
      <c r="U46">
        <f t="shared" si="12"/>
        <v>37</v>
      </c>
      <c r="V46">
        <f t="shared" si="12"/>
        <v>50</v>
      </c>
      <c r="W46">
        <f t="shared" si="12"/>
        <v>102</v>
      </c>
      <c r="X46">
        <f t="shared" si="12"/>
        <v>87</v>
      </c>
      <c r="Y46">
        <f t="shared" si="12"/>
        <v>34</v>
      </c>
      <c r="Z46">
        <f t="shared" si="12"/>
        <v>115</v>
      </c>
      <c r="AA46">
        <f t="shared" si="12"/>
        <v>26</v>
      </c>
      <c r="AB46">
        <f t="shared" si="12"/>
        <v>20</v>
      </c>
      <c r="AC46">
        <f t="shared" si="12"/>
        <v>47</v>
      </c>
      <c r="AD46">
        <f t="shared" si="12"/>
        <v>35</v>
      </c>
      <c r="AE46">
        <f t="shared" si="12"/>
        <v>75</v>
      </c>
      <c r="AF46">
        <f t="shared" si="12"/>
        <v>45</v>
      </c>
      <c r="AG46">
        <f t="shared" si="12"/>
        <v>23</v>
      </c>
      <c r="AH46">
        <f t="shared" si="12"/>
        <v>25</v>
      </c>
      <c r="AI46">
        <f t="shared" si="12"/>
        <v>116</v>
      </c>
      <c r="AJ46">
        <f t="shared" si="12"/>
        <v>114</v>
      </c>
      <c r="AK46">
        <f t="shared" si="12"/>
        <v>28</v>
      </c>
      <c r="AL46">
        <f t="shared" si="12"/>
        <v>18</v>
      </c>
      <c r="AM46">
        <f t="shared" si="12"/>
        <v>72</v>
      </c>
      <c r="AN46">
        <f t="shared" si="12"/>
        <v>82</v>
      </c>
      <c r="AO46">
        <f t="shared" si="12"/>
        <v>97</v>
      </c>
      <c r="AP46">
        <f t="shared" si="12"/>
        <v>3</v>
      </c>
      <c r="AQ46">
        <f t="shared" si="12"/>
        <v>90</v>
      </c>
      <c r="AR46">
        <f t="shared" si="12"/>
        <v>49</v>
      </c>
      <c r="AS46">
        <f t="shared" si="12"/>
        <v>117</v>
      </c>
      <c r="AT46">
        <f t="shared" si="12"/>
        <v>59</v>
      </c>
      <c r="AU46">
        <f t="shared" si="12"/>
        <v>31</v>
      </c>
      <c r="AV46">
        <f t="shared" si="12"/>
        <v>110</v>
      </c>
      <c r="AW46">
        <f t="shared" si="12"/>
        <v>78</v>
      </c>
      <c r="AX46">
        <f t="shared" si="12"/>
        <v>93</v>
      </c>
      <c r="AY46">
        <f t="shared" si="12"/>
        <v>4</v>
      </c>
      <c r="AZ46">
        <f t="shared" si="12"/>
        <v>54</v>
      </c>
      <c r="BA46">
        <f t="shared" si="12"/>
        <v>52</v>
      </c>
      <c r="BB46">
        <f t="shared" si="12"/>
        <v>19</v>
      </c>
      <c r="BC46">
        <f t="shared" si="12"/>
        <v>111</v>
      </c>
      <c r="BD46">
        <f t="shared" si="12"/>
        <v>109</v>
      </c>
      <c r="BE46">
        <f t="shared" si="12"/>
        <v>38</v>
      </c>
      <c r="BF46">
        <f t="shared" si="12"/>
        <v>106</v>
      </c>
      <c r="BG46">
        <f t="shared" si="12"/>
        <v>14</v>
      </c>
      <c r="BH46">
        <f t="shared" si="12"/>
        <v>63</v>
      </c>
      <c r="BI46">
        <f t="shared" si="12"/>
        <v>70</v>
      </c>
      <c r="BJ46">
        <f t="shared" si="12"/>
        <v>65</v>
      </c>
      <c r="BK46">
        <f t="shared" si="12"/>
        <v>98</v>
      </c>
      <c r="BL46">
        <f t="shared" si="12"/>
        <v>40</v>
      </c>
      <c r="BM46">
        <f t="shared" si="12"/>
        <v>41</v>
      </c>
      <c r="BN46">
        <f t="shared" si="12"/>
        <v>51</v>
      </c>
      <c r="BO46">
        <f t="shared" si="12"/>
        <v>8</v>
      </c>
      <c r="BP46">
        <f t="shared" ref="BP45:DO46" si="13">RANK(BP44, $C44:$DO44, 1)</f>
        <v>77</v>
      </c>
      <c r="BQ46">
        <f t="shared" si="13"/>
        <v>6</v>
      </c>
      <c r="BR46">
        <f t="shared" si="13"/>
        <v>105</v>
      </c>
      <c r="BS46">
        <f t="shared" si="13"/>
        <v>66</v>
      </c>
      <c r="BT46">
        <f t="shared" si="13"/>
        <v>103</v>
      </c>
      <c r="BU46">
        <f t="shared" si="13"/>
        <v>107</v>
      </c>
      <c r="BV46">
        <f t="shared" si="13"/>
        <v>32</v>
      </c>
      <c r="BW46">
        <f t="shared" si="13"/>
        <v>74</v>
      </c>
      <c r="BX46">
        <f t="shared" si="13"/>
        <v>91</v>
      </c>
      <c r="BY46">
        <f t="shared" si="13"/>
        <v>46</v>
      </c>
      <c r="BZ46">
        <f t="shared" si="13"/>
        <v>53</v>
      </c>
      <c r="CA46">
        <f t="shared" si="13"/>
        <v>13</v>
      </c>
      <c r="CB46">
        <f t="shared" si="13"/>
        <v>96</v>
      </c>
      <c r="CC46">
        <f t="shared" si="13"/>
        <v>86</v>
      </c>
      <c r="CD46">
        <f t="shared" si="13"/>
        <v>81</v>
      </c>
      <c r="CE46">
        <f t="shared" si="13"/>
        <v>113</v>
      </c>
      <c r="CF46">
        <f t="shared" si="13"/>
        <v>24</v>
      </c>
      <c r="CG46">
        <f t="shared" si="13"/>
        <v>5</v>
      </c>
      <c r="CH46">
        <f t="shared" si="13"/>
        <v>95</v>
      </c>
      <c r="CI46">
        <f t="shared" si="13"/>
        <v>42</v>
      </c>
      <c r="CJ46">
        <f t="shared" si="13"/>
        <v>9</v>
      </c>
      <c r="CK46">
        <f t="shared" si="13"/>
        <v>80</v>
      </c>
      <c r="CL46">
        <f t="shared" si="13"/>
        <v>21</v>
      </c>
      <c r="CM46">
        <f t="shared" si="13"/>
        <v>79</v>
      </c>
      <c r="CN46">
        <f t="shared" si="13"/>
        <v>104</v>
      </c>
      <c r="CO46">
        <f t="shared" si="13"/>
        <v>71</v>
      </c>
      <c r="CP46">
        <f t="shared" si="13"/>
        <v>92</v>
      </c>
      <c r="CQ46">
        <f t="shared" si="13"/>
        <v>68</v>
      </c>
      <c r="CR46">
        <f t="shared" si="13"/>
        <v>69</v>
      </c>
      <c r="CS46">
        <f t="shared" si="13"/>
        <v>85</v>
      </c>
      <c r="CT46">
        <f t="shared" si="13"/>
        <v>22</v>
      </c>
      <c r="CU46">
        <f t="shared" si="13"/>
        <v>55</v>
      </c>
      <c r="CV46">
        <f t="shared" si="13"/>
        <v>58</v>
      </c>
      <c r="CW46">
        <f t="shared" si="13"/>
        <v>67</v>
      </c>
      <c r="CX46">
        <f t="shared" si="13"/>
        <v>76</v>
      </c>
      <c r="CY46">
        <f t="shared" si="13"/>
        <v>56</v>
      </c>
      <c r="CZ46">
        <f t="shared" si="13"/>
        <v>64</v>
      </c>
      <c r="DA46">
        <f t="shared" si="13"/>
        <v>60</v>
      </c>
      <c r="DB46">
        <f t="shared" si="13"/>
        <v>11</v>
      </c>
      <c r="DC46">
        <f t="shared" si="13"/>
        <v>1</v>
      </c>
      <c r="DD46">
        <f t="shared" si="13"/>
        <v>15</v>
      </c>
      <c r="DE46">
        <f t="shared" si="13"/>
        <v>83</v>
      </c>
      <c r="DF46">
        <f t="shared" si="13"/>
        <v>94</v>
      </c>
      <c r="DG46">
        <f t="shared" si="13"/>
        <v>29</v>
      </c>
      <c r="DH46">
        <f t="shared" si="13"/>
        <v>57</v>
      </c>
      <c r="DI46">
        <f t="shared" si="13"/>
        <v>89</v>
      </c>
      <c r="DJ46">
        <f t="shared" si="13"/>
        <v>108</v>
      </c>
      <c r="DK46">
        <f t="shared" si="13"/>
        <v>44</v>
      </c>
      <c r="DL46">
        <f t="shared" si="13"/>
        <v>12</v>
      </c>
      <c r="DM46">
        <f t="shared" si="13"/>
        <v>27</v>
      </c>
      <c r="DN46">
        <f t="shared" si="13"/>
        <v>10</v>
      </c>
      <c r="DO46">
        <f t="shared" si="13"/>
        <v>2</v>
      </c>
    </row>
    <row r="47" spans="1:119">
      <c r="A47" t="s">
        <v>14</v>
      </c>
      <c r="C47">
        <f>MIN(C45:DO45)</f>
        <v>1</v>
      </c>
      <c r="D47">
        <f>AVERAGE(C45:DO45)</f>
        <v>59</v>
      </c>
      <c r="E47">
        <f>MAX(C45:DO45)</f>
        <v>117</v>
      </c>
    </row>
    <row r="48" spans="1:119">
      <c r="A48" t="s">
        <v>15</v>
      </c>
      <c r="C48">
        <f>MIN(C46:DO46)</f>
        <v>1</v>
      </c>
      <c r="D48">
        <f>AVERAGE(C46:DO46)</f>
        <v>59</v>
      </c>
      <c r="E48">
        <f>MAX(C46:DO46)</f>
        <v>117</v>
      </c>
    </row>
    <row r="49" spans="1:119">
      <c r="A49" t="s">
        <v>16</v>
      </c>
      <c r="C49">
        <f>SQRT((C$45-$C$47)^2+(C$46-$C$48)^2)</f>
        <v>118.68024266911489</v>
      </c>
      <c r="D49">
        <f t="shared" ref="D49:BO49" si="14">SQRT((D$45-$C$47)^2+(D$46-$C$48)^2)</f>
        <v>83</v>
      </c>
      <c r="E49">
        <f t="shared" si="14"/>
        <v>104.04326023342406</v>
      </c>
      <c r="F49">
        <f t="shared" si="14"/>
        <v>105.94810050208545</v>
      </c>
      <c r="G49">
        <f t="shared" si="14"/>
        <v>47.413078364518789</v>
      </c>
      <c r="H49">
        <f t="shared" si="14"/>
        <v>116.96580696938743</v>
      </c>
      <c r="I49">
        <f t="shared" si="14"/>
        <v>70.178344238091</v>
      </c>
      <c r="J49">
        <f t="shared" si="14"/>
        <v>99.03534722511958</v>
      </c>
      <c r="K49">
        <f t="shared" si="14"/>
        <v>106.97663296253066</v>
      </c>
      <c r="L49">
        <f t="shared" si="14"/>
        <v>72.945184899347538</v>
      </c>
      <c r="M49">
        <f t="shared" si="14"/>
        <v>80.411441971898498</v>
      </c>
      <c r="N49">
        <f t="shared" si="14"/>
        <v>53.338541412378348</v>
      </c>
      <c r="O49">
        <f t="shared" si="14"/>
        <v>62.361847310675458</v>
      </c>
      <c r="P49">
        <f t="shared" si="14"/>
        <v>104.62313319720452</v>
      </c>
      <c r="Q49">
        <f t="shared" si="14"/>
        <v>30.528675044947494</v>
      </c>
      <c r="R49">
        <f t="shared" si="14"/>
        <v>66.468037431535464</v>
      </c>
      <c r="S49">
        <f t="shared" si="14"/>
        <v>111.04053313993049</v>
      </c>
      <c r="T49">
        <f t="shared" si="14"/>
        <v>142.89856542317</v>
      </c>
      <c r="U49">
        <f t="shared" si="14"/>
        <v>96.932966528421076</v>
      </c>
      <c r="V49">
        <f t="shared" si="14"/>
        <v>117.6860229593982</v>
      </c>
      <c r="W49">
        <f t="shared" si="14"/>
        <v>146.4137971640651</v>
      </c>
      <c r="X49">
        <f t="shared" si="14"/>
        <v>96.602277405866573</v>
      </c>
      <c r="Y49">
        <f t="shared" si="14"/>
        <v>71.119617546778187</v>
      </c>
      <c r="Z49">
        <f t="shared" si="14"/>
        <v>117.15374513859982</v>
      </c>
      <c r="AA49">
        <f t="shared" si="14"/>
        <v>96.30160954002794</v>
      </c>
      <c r="AB49">
        <f t="shared" si="14"/>
        <v>115.57248807566617</v>
      </c>
      <c r="AC49">
        <f t="shared" si="14"/>
        <v>46.097722286464439</v>
      </c>
      <c r="AD49">
        <f t="shared" si="14"/>
        <v>38.470768123342687</v>
      </c>
      <c r="AE49">
        <f t="shared" si="14"/>
        <v>74.330343736592525</v>
      </c>
      <c r="AF49">
        <f t="shared" si="14"/>
        <v>58.796258384356399</v>
      </c>
      <c r="AG49">
        <f t="shared" si="14"/>
        <v>86.833173384369644</v>
      </c>
      <c r="AH49">
        <f t="shared" si="14"/>
        <v>117.47765745025733</v>
      </c>
      <c r="AI49">
        <f t="shared" si="14"/>
        <v>151.74320413119</v>
      </c>
      <c r="AJ49">
        <f t="shared" si="14"/>
        <v>120.20815280171308</v>
      </c>
      <c r="AK49">
        <f t="shared" si="14"/>
        <v>30.886890422961002</v>
      </c>
      <c r="AL49">
        <f t="shared" si="14"/>
        <v>29.410882339705484</v>
      </c>
      <c r="AM49">
        <f t="shared" si="14"/>
        <v>71.253070109294242</v>
      </c>
      <c r="AN49">
        <f t="shared" si="14"/>
        <v>128.68954891520912</v>
      </c>
      <c r="AO49">
        <f t="shared" si="14"/>
        <v>146.75489770362009</v>
      </c>
      <c r="AP49">
        <f t="shared" si="14"/>
        <v>72.027772421476428</v>
      </c>
      <c r="AQ49">
        <f t="shared" si="14"/>
        <v>94.244363226667303</v>
      </c>
      <c r="AR49">
        <f t="shared" si="14"/>
        <v>64.443773942872099</v>
      </c>
      <c r="AS49">
        <f t="shared" si="14"/>
        <v>124.42266674525185</v>
      </c>
      <c r="AT49">
        <f t="shared" si="14"/>
        <v>59.665735560705194</v>
      </c>
      <c r="AU49">
        <f t="shared" si="14"/>
        <v>107.28000745712129</v>
      </c>
      <c r="AV49">
        <f t="shared" si="14"/>
        <v>109.29318368498559</v>
      </c>
      <c r="AW49">
        <f t="shared" si="14"/>
        <v>124.63145670335399</v>
      </c>
      <c r="AX49">
        <f t="shared" si="14"/>
        <v>93.380940239430018</v>
      </c>
      <c r="AY49">
        <f t="shared" si="14"/>
        <v>12.369316876852981</v>
      </c>
      <c r="AZ49">
        <f t="shared" si="14"/>
        <v>74.249579123386283</v>
      </c>
      <c r="BA49">
        <f t="shared" si="14"/>
        <v>119.4361754243663</v>
      </c>
      <c r="BB49">
        <f t="shared" si="14"/>
        <v>81.024687595818591</v>
      </c>
      <c r="BC49">
        <f t="shared" si="14"/>
        <v>125.78155667664477</v>
      </c>
      <c r="BD49">
        <f t="shared" si="14"/>
        <v>135.60235986147143</v>
      </c>
      <c r="BE49">
        <f t="shared" si="14"/>
        <v>67.119296778199342</v>
      </c>
      <c r="BF49">
        <f t="shared" si="14"/>
        <v>105.01904589168576</v>
      </c>
      <c r="BG49">
        <f t="shared" si="14"/>
        <v>17.029386365926403</v>
      </c>
      <c r="BH49">
        <f t="shared" si="14"/>
        <v>79.025312400521386</v>
      </c>
      <c r="BI49">
        <f t="shared" si="14"/>
        <v>114.20157617125956</v>
      </c>
      <c r="BJ49">
        <f t="shared" si="14"/>
        <v>70.263788682364691</v>
      </c>
      <c r="BK49">
        <f t="shared" si="14"/>
        <v>98.843310345212544</v>
      </c>
      <c r="BL49">
        <f t="shared" si="14"/>
        <v>83.648072302952684</v>
      </c>
      <c r="BM49">
        <f t="shared" si="14"/>
        <v>41</v>
      </c>
      <c r="BN49">
        <f t="shared" si="14"/>
        <v>88.481636512894582</v>
      </c>
      <c r="BO49">
        <f t="shared" si="14"/>
        <v>95.257545632878873</v>
      </c>
      <c r="BP49">
        <f t="shared" ref="BP49:DO49" si="15">SQRT((BP$45-$C$47)^2+(BP$46-$C$48)^2)</f>
        <v>85.883642214335552</v>
      </c>
      <c r="BQ49">
        <f t="shared" si="15"/>
        <v>11.180339887498949</v>
      </c>
      <c r="BR49">
        <f t="shared" si="15"/>
        <v>119.07980517283357</v>
      </c>
      <c r="BS49">
        <f t="shared" si="15"/>
        <v>68.007352543677214</v>
      </c>
      <c r="BT49">
        <f t="shared" si="15"/>
        <v>107.20541031123382</v>
      </c>
      <c r="BU49">
        <f t="shared" si="15"/>
        <v>112.27199116431488</v>
      </c>
      <c r="BV49">
        <f t="shared" si="15"/>
        <v>64.884512790033341</v>
      </c>
      <c r="BW49">
        <f t="shared" si="15"/>
        <v>120.60265337047937</v>
      </c>
      <c r="BX49">
        <f t="shared" si="15"/>
        <v>120.41594578792295</v>
      </c>
      <c r="BY49">
        <f t="shared" si="15"/>
        <v>104.21612159354233</v>
      </c>
      <c r="BZ49">
        <f t="shared" si="15"/>
        <v>88.0056816347672</v>
      </c>
      <c r="CA49">
        <f t="shared" si="15"/>
        <v>36.055512754639892</v>
      </c>
      <c r="CB49">
        <f t="shared" si="15"/>
        <v>95.885348202944954</v>
      </c>
      <c r="CC49">
        <f t="shared" si="15"/>
        <v>121.63058825805291</v>
      </c>
      <c r="CD49">
        <f t="shared" si="15"/>
        <v>111.73182178770737</v>
      </c>
      <c r="CE49">
        <f t="shared" si="15"/>
        <v>158.39191898578665</v>
      </c>
      <c r="CF49">
        <f t="shared" si="15"/>
        <v>53.225933528685054</v>
      </c>
      <c r="CG49">
        <f t="shared" si="15"/>
        <v>92.086915465770701</v>
      </c>
      <c r="CH49">
        <f t="shared" si="15"/>
        <v>114.85643212288984</v>
      </c>
      <c r="CI49">
        <f t="shared" si="15"/>
        <v>61.619802012015583</v>
      </c>
      <c r="CJ49">
        <f t="shared" si="15"/>
        <v>62.513998432351137</v>
      </c>
      <c r="CK49">
        <f t="shared" si="15"/>
        <v>125.09996003196804</v>
      </c>
      <c r="CL49">
        <f t="shared" si="15"/>
        <v>68.007352543677214</v>
      </c>
      <c r="CM49">
        <f t="shared" si="15"/>
        <v>85.906926379658117</v>
      </c>
      <c r="CN49">
        <f t="shared" si="15"/>
        <v>119.20151005754919</v>
      </c>
      <c r="CO49">
        <f t="shared" si="15"/>
        <v>107.05606008068857</v>
      </c>
      <c r="CP49">
        <f t="shared" si="15"/>
        <v>114.80853626799707</v>
      </c>
      <c r="CQ49">
        <f t="shared" si="15"/>
        <v>83.600239234107462</v>
      </c>
      <c r="CR49">
        <f t="shared" si="15"/>
        <v>111.21151019566275</v>
      </c>
      <c r="CS49">
        <f t="shared" si="15"/>
        <v>86.58521813797087</v>
      </c>
      <c r="CT49">
        <f t="shared" si="15"/>
        <v>58.872744118140105</v>
      </c>
      <c r="CU49">
        <f t="shared" si="15"/>
        <v>58.694122363316758</v>
      </c>
      <c r="CV49">
        <f t="shared" si="15"/>
        <v>95</v>
      </c>
      <c r="CW49">
        <f t="shared" si="15"/>
        <v>71.693793315739683</v>
      </c>
      <c r="CX49">
        <f t="shared" si="15"/>
        <v>100.56838469419701</v>
      </c>
      <c r="CY49">
        <f t="shared" si="15"/>
        <v>115.88356225108029</v>
      </c>
      <c r="CZ49">
        <f t="shared" si="15"/>
        <v>106.60675400742676</v>
      </c>
      <c r="DA49">
        <f t="shared" si="15"/>
        <v>120.44085685513866</v>
      </c>
      <c r="DB49">
        <f t="shared" si="15"/>
        <v>51.97114584074513</v>
      </c>
      <c r="DC49">
        <f t="shared" si="15"/>
        <v>54</v>
      </c>
      <c r="DD49">
        <f t="shared" si="15"/>
        <v>33.105890714493697</v>
      </c>
      <c r="DE49">
        <f t="shared" si="15"/>
        <v>82.152297594163485</v>
      </c>
      <c r="DF49">
        <f t="shared" si="15"/>
        <v>96.30160954002794</v>
      </c>
      <c r="DG49">
        <f t="shared" si="15"/>
        <v>28.0178514522438</v>
      </c>
      <c r="DH49">
        <f t="shared" si="15"/>
        <v>105.152270541344</v>
      </c>
      <c r="DI49">
        <f t="shared" si="15"/>
        <v>94.70480452437458</v>
      </c>
      <c r="DJ49">
        <f t="shared" si="15"/>
        <v>155.62133529821674</v>
      </c>
      <c r="DK49">
        <f t="shared" si="15"/>
        <v>118.10588469674151</v>
      </c>
      <c r="DL49">
        <f t="shared" si="15"/>
        <v>83.725742755737912</v>
      </c>
      <c r="DM49">
        <f t="shared" si="15"/>
        <v>26.305892875931811</v>
      </c>
      <c r="DN49">
        <f t="shared" si="15"/>
        <v>77.52418977325722</v>
      </c>
      <c r="DO49">
        <f t="shared" si="15"/>
        <v>109.00458705944443</v>
      </c>
    </row>
    <row r="50" spans="1:119">
      <c r="A50" t="s">
        <v>17</v>
      </c>
      <c r="C50">
        <f>SQRT((C$45-$C$47)^2+(C$46-$E$48)^2)</f>
        <v>42.296571965113202</v>
      </c>
      <c r="D50">
        <f t="shared" ref="D50:BO50" si="16">SQRT((D$45-$C$47)^2+(D$46-$E$48)^2)</f>
        <v>33</v>
      </c>
      <c r="E50">
        <f t="shared" si="16"/>
        <v>36.235341863986875</v>
      </c>
      <c r="F50">
        <f t="shared" si="16"/>
        <v>131.36590120727678</v>
      </c>
      <c r="G50">
        <f t="shared" si="16"/>
        <v>77.201036262475128</v>
      </c>
      <c r="H50">
        <f t="shared" si="16"/>
        <v>153.80832227158581</v>
      </c>
      <c r="I50">
        <f t="shared" si="16"/>
        <v>97.8008179924892</v>
      </c>
      <c r="J50">
        <f t="shared" si="16"/>
        <v>80.993826925266347</v>
      </c>
      <c r="K50">
        <f t="shared" si="16"/>
        <v>41.231056256176608</v>
      </c>
      <c r="L50">
        <f t="shared" si="16"/>
        <v>103.23274674249446</v>
      </c>
      <c r="M50">
        <f t="shared" si="16"/>
        <v>114.86513831445988</v>
      </c>
      <c r="N50">
        <f t="shared" si="16"/>
        <v>122.10241602851272</v>
      </c>
      <c r="O50">
        <f t="shared" si="16"/>
        <v>58.523499553598128</v>
      </c>
      <c r="P50">
        <f t="shared" si="16"/>
        <v>101.24228365658294</v>
      </c>
      <c r="Q50">
        <f t="shared" si="16"/>
        <v>103.32473082471591</v>
      </c>
      <c r="R50">
        <f t="shared" si="16"/>
        <v>83.486525858967212</v>
      </c>
      <c r="S50">
        <f t="shared" si="16"/>
        <v>74.846509604656916</v>
      </c>
      <c r="T50">
        <f t="shared" si="16"/>
        <v>105.54619841567009</v>
      </c>
      <c r="U50">
        <f t="shared" si="16"/>
        <v>120.41594578792295</v>
      </c>
      <c r="V50">
        <f t="shared" si="16"/>
        <v>126.24579200908045</v>
      </c>
      <c r="W50">
        <f t="shared" si="16"/>
        <v>107.05606008068857</v>
      </c>
      <c r="X50">
        <f t="shared" si="16"/>
        <v>53.254107822777392</v>
      </c>
      <c r="Y50">
        <f t="shared" si="16"/>
        <v>104.20172743289815</v>
      </c>
      <c r="Z50">
        <f t="shared" si="16"/>
        <v>27.073972741361768</v>
      </c>
      <c r="AA50">
        <f t="shared" si="16"/>
        <v>130.11533345459327</v>
      </c>
      <c r="AB50">
        <f t="shared" si="16"/>
        <v>149.68299836654796</v>
      </c>
      <c r="AC50">
        <f t="shared" si="16"/>
        <v>70.064256222413434</v>
      </c>
      <c r="AD50">
        <f t="shared" si="16"/>
        <v>83.952367447261423</v>
      </c>
      <c r="AE50">
        <f t="shared" si="16"/>
        <v>42.579337712087536</v>
      </c>
      <c r="AF50">
        <f t="shared" si="16"/>
        <v>81.884064383737083</v>
      </c>
      <c r="AG50">
        <f t="shared" si="16"/>
        <v>126.0634760745554</v>
      </c>
      <c r="AH50">
        <f t="shared" si="16"/>
        <v>147.27185746095552</v>
      </c>
      <c r="AI50">
        <f t="shared" si="16"/>
        <v>99.005050376230813</v>
      </c>
      <c r="AJ50">
        <f t="shared" si="16"/>
        <v>41.109609582188931</v>
      </c>
      <c r="AK50">
        <f t="shared" si="16"/>
        <v>90.255193756370602</v>
      </c>
      <c r="AL50">
        <f t="shared" si="16"/>
        <v>101.86756107809786</v>
      </c>
      <c r="AM50">
        <f t="shared" si="16"/>
        <v>45.398237851264668</v>
      </c>
      <c r="AN50">
        <f t="shared" si="16"/>
        <v>105.94810050208545</v>
      </c>
      <c r="AO50">
        <f t="shared" si="16"/>
        <v>112.78741064498288</v>
      </c>
      <c r="AP50">
        <f t="shared" si="16"/>
        <v>134.83323032546539</v>
      </c>
      <c r="AQ50">
        <f t="shared" si="16"/>
        <v>41.109609582188931</v>
      </c>
      <c r="AR50">
        <f t="shared" si="16"/>
        <v>80.454956342042721</v>
      </c>
      <c r="AS50">
        <f t="shared" si="16"/>
        <v>45</v>
      </c>
      <c r="AT50">
        <f t="shared" si="16"/>
        <v>59.665735560705194</v>
      </c>
      <c r="AU50">
        <f t="shared" si="16"/>
        <v>134.18271125595876</v>
      </c>
      <c r="AV50">
        <f t="shared" si="16"/>
        <v>10.63014581273465</v>
      </c>
      <c r="AW50">
        <f t="shared" si="16"/>
        <v>105.47511554864494</v>
      </c>
      <c r="AX50">
        <f t="shared" si="16"/>
        <v>28.844410203711913</v>
      </c>
      <c r="AY50">
        <f t="shared" si="16"/>
        <v>113.63538181394033</v>
      </c>
      <c r="AZ50">
        <f t="shared" si="16"/>
        <v>81.688432473637292</v>
      </c>
      <c r="BA50">
        <f t="shared" si="16"/>
        <v>126.05157674539419</v>
      </c>
      <c r="BB50">
        <f t="shared" si="16"/>
        <v>125.87692401707312</v>
      </c>
      <c r="BC50">
        <f t="shared" si="16"/>
        <v>61.294371682887821</v>
      </c>
      <c r="BD50">
        <f t="shared" si="16"/>
        <v>82.389319696183918</v>
      </c>
      <c r="BE50">
        <f t="shared" si="16"/>
        <v>96.834911060009759</v>
      </c>
      <c r="BF50">
        <f t="shared" si="16"/>
        <v>11.180339887498949</v>
      </c>
      <c r="BG50">
        <f t="shared" si="16"/>
        <v>103.58571330062848</v>
      </c>
      <c r="BH50">
        <f t="shared" si="16"/>
        <v>72.917761896536561</v>
      </c>
      <c r="BI50">
        <f t="shared" si="16"/>
        <v>102.42070103255493</v>
      </c>
      <c r="BJ50">
        <f t="shared" si="16"/>
        <v>59.539902586416787</v>
      </c>
      <c r="BK50">
        <f t="shared" si="16"/>
        <v>26.870057685088806</v>
      </c>
      <c r="BL50">
        <f t="shared" si="16"/>
        <v>106.7941945987702</v>
      </c>
      <c r="BM50">
        <f t="shared" si="16"/>
        <v>76.53103945458993</v>
      </c>
      <c r="BN50">
        <f t="shared" si="16"/>
        <v>98.412397592986224</v>
      </c>
      <c r="BO50">
        <f t="shared" si="16"/>
        <v>144.58907289280197</v>
      </c>
      <c r="BP50">
        <f t="shared" ref="BP50:DO50" si="17">SQRT((BP$45-$C$47)^2+(BP$46-$E$48)^2)</f>
        <v>56.568542494923804</v>
      </c>
      <c r="BQ50">
        <f t="shared" si="17"/>
        <v>111.44954015158609</v>
      </c>
      <c r="BR50">
        <f t="shared" si="17"/>
        <v>59.22837157984339</v>
      </c>
      <c r="BS50">
        <f t="shared" si="17"/>
        <v>54.78138369920935</v>
      </c>
      <c r="BT50">
        <f t="shared" si="17"/>
        <v>35.846896657869841</v>
      </c>
      <c r="BU50">
        <f t="shared" si="17"/>
        <v>38.327535793473601</v>
      </c>
      <c r="BV50">
        <f t="shared" si="17"/>
        <v>102.34256201600583</v>
      </c>
      <c r="BW50">
        <f t="shared" si="17"/>
        <v>105.19030373565806</v>
      </c>
      <c r="BX50">
        <f t="shared" si="17"/>
        <v>84.118963379252364</v>
      </c>
      <c r="BY50">
        <f t="shared" si="17"/>
        <v>117.80067911519016</v>
      </c>
      <c r="BZ50">
        <f t="shared" si="17"/>
        <v>95.587656106842587</v>
      </c>
      <c r="CA50">
        <f t="shared" si="17"/>
        <v>109.41663493271945</v>
      </c>
      <c r="CB50">
        <f t="shared" si="17"/>
        <v>24.698178070456937</v>
      </c>
      <c r="CC50">
        <f t="shared" si="17"/>
        <v>92.357999112150537</v>
      </c>
      <c r="CD50">
        <f t="shared" si="17"/>
        <v>85.906926379658117</v>
      </c>
      <c r="CE50">
        <f t="shared" si="17"/>
        <v>112.0714058089752</v>
      </c>
      <c r="CF50">
        <f t="shared" si="17"/>
        <v>104.65658125507444</v>
      </c>
      <c r="CG50">
        <f t="shared" si="17"/>
        <v>144.9413674559475</v>
      </c>
      <c r="CH50">
        <f t="shared" si="17"/>
        <v>69.570108523704349</v>
      </c>
      <c r="CI50">
        <f t="shared" si="17"/>
        <v>87.982952894296517</v>
      </c>
      <c r="CJ50">
        <f t="shared" si="17"/>
        <v>124.53112060846478</v>
      </c>
      <c r="CK50">
        <f t="shared" si="17"/>
        <v>103.81714694596457</v>
      </c>
      <c r="CL50">
        <f t="shared" si="17"/>
        <v>115.93532679903913</v>
      </c>
      <c r="CM50">
        <f t="shared" si="17"/>
        <v>52.345009313209601</v>
      </c>
      <c r="CN50">
        <f t="shared" si="17"/>
        <v>61.392181912683313</v>
      </c>
      <c r="CO50">
        <f t="shared" si="17"/>
        <v>93.150415994776964</v>
      </c>
      <c r="CP50">
        <f t="shared" si="17"/>
        <v>74.330343736592525</v>
      </c>
      <c r="CQ50">
        <f t="shared" si="17"/>
        <v>70.007142492748557</v>
      </c>
      <c r="CR50">
        <f t="shared" si="17"/>
        <v>100.23971268913334</v>
      </c>
      <c r="CS50">
        <f t="shared" si="17"/>
        <v>38.275318418009277</v>
      </c>
      <c r="CT50">
        <f t="shared" si="17"/>
        <v>109.77249200050075</v>
      </c>
      <c r="CU50">
        <f t="shared" si="17"/>
        <v>66.128662469461759</v>
      </c>
      <c r="CV50">
        <f t="shared" si="17"/>
        <v>96.213304693269947</v>
      </c>
      <c r="CW50">
        <f t="shared" si="17"/>
        <v>57.30619512757761</v>
      </c>
      <c r="CX50">
        <f t="shared" si="17"/>
        <v>78.549347546621931</v>
      </c>
      <c r="CY50">
        <f t="shared" si="17"/>
        <v>118.84864324004712</v>
      </c>
      <c r="CZ50">
        <f t="shared" si="17"/>
        <v>101.01980003939822</v>
      </c>
      <c r="DA50">
        <f t="shared" si="17"/>
        <v>119.47384651043926</v>
      </c>
      <c r="DB50">
        <f t="shared" si="17"/>
        <v>117.63077828527702</v>
      </c>
      <c r="DC50">
        <f t="shared" si="17"/>
        <v>127.9531164137865</v>
      </c>
      <c r="DD50">
        <f t="shared" si="17"/>
        <v>106.3202708800161</v>
      </c>
      <c r="DE50">
        <f t="shared" si="17"/>
        <v>34.365680554879162</v>
      </c>
      <c r="DF50">
        <f t="shared" si="17"/>
        <v>33.97057550292606</v>
      </c>
      <c r="DG50">
        <f t="shared" si="17"/>
        <v>88.0056816347672</v>
      </c>
      <c r="DH50">
        <f t="shared" si="17"/>
        <v>107.33592129385204</v>
      </c>
      <c r="DI50">
        <f t="shared" si="17"/>
        <v>44.82186966202994</v>
      </c>
      <c r="DJ50">
        <f t="shared" si="17"/>
        <v>113.35784048754634</v>
      </c>
      <c r="DK50">
        <f t="shared" si="17"/>
        <v>132.01893803541975</v>
      </c>
      <c r="DL50">
        <f t="shared" si="17"/>
        <v>133.843191832831</v>
      </c>
      <c r="DM50">
        <f t="shared" si="17"/>
        <v>90.088845036441668</v>
      </c>
      <c r="DN50">
        <f t="shared" si="17"/>
        <v>131.82564242210239</v>
      </c>
      <c r="DO50">
        <f t="shared" si="17"/>
        <v>158.44872987815333</v>
      </c>
    </row>
    <row r="51" spans="1:119">
      <c r="A51" t="s">
        <v>18</v>
      </c>
      <c r="C51">
        <f>SQRT((C$45-$E$47)^2+(C$46-$C$48)^2)</f>
        <v>133.40539719216761</v>
      </c>
      <c r="D51">
        <f t="shared" ref="D51:BO51" si="18">SQRT((D$45-$E$47)^2+(D$46-$C$48)^2)</f>
        <v>142.63590010933433</v>
      </c>
      <c r="E51">
        <f t="shared" si="18"/>
        <v>129.8345100502944</v>
      </c>
      <c r="F51">
        <f t="shared" si="18"/>
        <v>35.341194094144583</v>
      </c>
      <c r="G51">
        <f t="shared" si="18"/>
        <v>102.95630140987001</v>
      </c>
      <c r="H51">
        <f t="shared" si="18"/>
        <v>15</v>
      </c>
      <c r="I51">
        <f t="shared" si="18"/>
        <v>68.505474233815804</v>
      </c>
      <c r="J51">
        <f t="shared" si="18"/>
        <v>86.53323061113575</v>
      </c>
      <c r="K51">
        <f t="shared" si="18"/>
        <v>126.82271089990152</v>
      </c>
      <c r="L51">
        <f t="shared" si="18"/>
        <v>62.681735776859277</v>
      </c>
      <c r="M51">
        <f t="shared" si="18"/>
        <v>50.219518117958877</v>
      </c>
      <c r="N51">
        <f t="shared" si="18"/>
        <v>63.28506932918696</v>
      </c>
      <c r="O51">
        <f t="shared" si="18"/>
        <v>115.76268828944843</v>
      </c>
      <c r="P51">
        <f t="shared" si="18"/>
        <v>68.425141578224014</v>
      </c>
      <c r="Q51">
        <f t="shared" si="18"/>
        <v>91.411159056211517</v>
      </c>
      <c r="R51">
        <f t="shared" si="18"/>
        <v>83.486525858967212</v>
      </c>
      <c r="S51">
        <f t="shared" si="18"/>
        <v>98.883770154661889</v>
      </c>
      <c r="T51">
        <f t="shared" si="18"/>
        <v>98.731960377579867</v>
      </c>
      <c r="U51">
        <f t="shared" si="18"/>
        <v>44.407206622349037</v>
      </c>
      <c r="V51">
        <f t="shared" si="18"/>
        <v>49.819674828324601</v>
      </c>
      <c r="W51">
        <f t="shared" si="18"/>
        <v>101.49384217774002</v>
      </c>
      <c r="X51">
        <f t="shared" si="18"/>
        <v>112.16059914247963</v>
      </c>
      <c r="Y51">
        <f t="shared" si="18"/>
        <v>62.433965115151864</v>
      </c>
      <c r="Z51">
        <f t="shared" si="18"/>
        <v>144.62710672622887</v>
      </c>
      <c r="AA51">
        <f t="shared" si="18"/>
        <v>33.97057550292606</v>
      </c>
      <c r="AB51">
        <f t="shared" si="18"/>
        <v>19.104973174542799</v>
      </c>
      <c r="AC51">
        <f t="shared" si="18"/>
        <v>122.00409829181969</v>
      </c>
      <c r="AD51">
        <f t="shared" si="18"/>
        <v>103.73041983911952</v>
      </c>
      <c r="AE51">
        <f t="shared" si="18"/>
        <v>131.7459676802292</v>
      </c>
      <c r="AF51">
        <f t="shared" si="18"/>
        <v>88.68483523128404</v>
      </c>
      <c r="AG51">
        <f t="shared" si="18"/>
        <v>38.832975677895199</v>
      </c>
      <c r="AH51">
        <f t="shared" si="18"/>
        <v>24.020824298928627</v>
      </c>
      <c r="AI51">
        <f t="shared" si="18"/>
        <v>116.24973118248489</v>
      </c>
      <c r="AJ51">
        <f t="shared" si="18"/>
        <v>135.6244815658294</v>
      </c>
      <c r="AK51">
        <f t="shared" si="18"/>
        <v>104.54664030948101</v>
      </c>
      <c r="AL51">
        <f t="shared" si="18"/>
        <v>93.557468969612472</v>
      </c>
      <c r="AM51">
        <f t="shared" si="18"/>
        <v>130.92364186807515</v>
      </c>
      <c r="AN51">
        <f t="shared" si="18"/>
        <v>82.565125809872058</v>
      </c>
      <c r="AO51">
        <f t="shared" si="18"/>
        <v>96.13012014972206</v>
      </c>
      <c r="AP51">
        <f t="shared" si="18"/>
        <v>44.045431091090478</v>
      </c>
      <c r="AQ51">
        <f t="shared" si="18"/>
        <v>123.0690862889621</v>
      </c>
      <c r="AR51">
        <f t="shared" si="18"/>
        <v>87.367041840730764</v>
      </c>
      <c r="AS51">
        <f t="shared" si="18"/>
        <v>136.0036764208968</v>
      </c>
      <c r="AT51">
        <f t="shared" si="18"/>
        <v>117.33712115098103</v>
      </c>
      <c r="AU51">
        <f t="shared" si="18"/>
        <v>32.695565448543633</v>
      </c>
      <c r="AV51">
        <f t="shared" si="18"/>
        <v>153.44380078712857</v>
      </c>
      <c r="AW51">
        <f t="shared" si="18"/>
        <v>79.075912893876861</v>
      </c>
      <c r="AX51">
        <f t="shared" si="18"/>
        <v>135.88230201170424</v>
      </c>
      <c r="AY51">
        <f t="shared" si="18"/>
        <v>104.04326023342406</v>
      </c>
      <c r="AZ51">
        <f t="shared" si="18"/>
        <v>83.096329642168911</v>
      </c>
      <c r="BA51">
        <f t="shared" si="18"/>
        <v>51.623637996561229</v>
      </c>
      <c r="BB51">
        <f t="shared" si="18"/>
        <v>41.146081222881968</v>
      </c>
      <c r="BC51">
        <f t="shared" si="18"/>
        <v>122.98373876248843</v>
      </c>
      <c r="BD51">
        <f t="shared" si="18"/>
        <v>113.22543883774529</v>
      </c>
      <c r="BE51">
        <f t="shared" si="18"/>
        <v>70.49113419430843</v>
      </c>
      <c r="BF51">
        <f t="shared" si="18"/>
        <v>154.98709623707387</v>
      </c>
      <c r="BG51">
        <f t="shared" si="18"/>
        <v>105.80170130957252</v>
      </c>
      <c r="BH51">
        <f t="shared" si="18"/>
        <v>91.285267157411553</v>
      </c>
      <c r="BI51">
        <f t="shared" si="18"/>
        <v>73.389372527635089</v>
      </c>
      <c r="BJ51">
        <f t="shared" si="18"/>
        <v>108.00462953040486</v>
      </c>
      <c r="BK51">
        <f t="shared" si="18"/>
        <v>137.17871555019022</v>
      </c>
      <c r="BL51">
        <f t="shared" si="18"/>
        <v>57.314919523628397</v>
      </c>
      <c r="BM51">
        <f t="shared" si="18"/>
        <v>114.23221962301179</v>
      </c>
      <c r="BN51">
        <f t="shared" si="18"/>
        <v>65.946948375190189</v>
      </c>
      <c r="BO51">
        <f t="shared" si="18"/>
        <v>22.135943621178654</v>
      </c>
      <c r="BP51">
        <f t="shared" ref="BP51:DO51" si="19">SQRT((BP$45-$E$47)^2+(BP$46-$C$48)^2)</f>
        <v>107.48023074035522</v>
      </c>
      <c r="BQ51">
        <f t="shared" si="19"/>
        <v>106.1178590059185</v>
      </c>
      <c r="BR51">
        <f t="shared" si="19"/>
        <v>119.07980517283357</v>
      </c>
      <c r="BS51">
        <f t="shared" si="19"/>
        <v>115.93532679903913</v>
      </c>
      <c r="BT51">
        <f t="shared" si="19"/>
        <v>131.50285168010618</v>
      </c>
      <c r="BU51">
        <f t="shared" si="19"/>
        <v>132.20060514233663</v>
      </c>
      <c r="BV51">
        <f t="shared" si="19"/>
        <v>66.648330811806531</v>
      </c>
      <c r="BW51">
        <f t="shared" si="19"/>
        <v>75.690157880665041</v>
      </c>
      <c r="BX51">
        <f t="shared" si="19"/>
        <v>96.932966528421076</v>
      </c>
      <c r="BY51">
        <f t="shared" si="19"/>
        <v>50.089919145472777</v>
      </c>
      <c r="BZ51">
        <f t="shared" si="19"/>
        <v>68.767724987816777</v>
      </c>
      <c r="CA51">
        <f t="shared" si="19"/>
        <v>82.87339742040264</v>
      </c>
      <c r="CB51">
        <f t="shared" si="19"/>
        <v>140.12137595670404</v>
      </c>
      <c r="CC51">
        <f t="shared" si="19"/>
        <v>89.810912477270818</v>
      </c>
      <c r="CD51">
        <f t="shared" si="19"/>
        <v>88.566359301938121</v>
      </c>
      <c r="CE51">
        <f t="shared" si="19"/>
        <v>112.0714058089752</v>
      </c>
      <c r="CF51">
        <f t="shared" si="19"/>
        <v>71.784399419372448</v>
      </c>
      <c r="CG51">
        <f t="shared" si="19"/>
        <v>24.331050121192877</v>
      </c>
      <c r="CH51">
        <f t="shared" si="19"/>
        <v>106.47065323364932</v>
      </c>
      <c r="CI51">
        <f t="shared" si="19"/>
        <v>81.123362849428275</v>
      </c>
      <c r="CJ51">
        <f t="shared" si="19"/>
        <v>54.589376255824725</v>
      </c>
      <c r="CK51">
        <f t="shared" si="19"/>
        <v>81.252692263087511</v>
      </c>
      <c r="CL51">
        <f t="shared" si="19"/>
        <v>54.78138369920935</v>
      </c>
      <c r="CM51">
        <f t="shared" si="19"/>
        <v>111.73182178770737</v>
      </c>
      <c r="CN51">
        <f t="shared" si="19"/>
        <v>117.23907198540937</v>
      </c>
      <c r="CO51">
        <f t="shared" si="19"/>
        <v>78.262379212492633</v>
      </c>
      <c r="CP51">
        <f t="shared" si="19"/>
        <v>101.96568050084302</v>
      </c>
      <c r="CQ51">
        <f t="shared" si="19"/>
        <v>94.047860156411858</v>
      </c>
      <c r="CR51">
        <f t="shared" si="19"/>
        <v>73.53910524340094</v>
      </c>
      <c r="CS51">
        <f t="shared" si="19"/>
        <v>126.81088281373961</v>
      </c>
      <c r="CT51">
        <f t="shared" si="19"/>
        <v>64.513564465157245</v>
      </c>
      <c r="CU51">
        <f t="shared" si="19"/>
        <v>107.54068997360952</v>
      </c>
      <c r="CV51">
        <f t="shared" si="19"/>
        <v>69.634761434214738</v>
      </c>
      <c r="CW51">
        <f t="shared" si="19"/>
        <v>110</v>
      </c>
      <c r="CX51">
        <f t="shared" si="19"/>
        <v>89.587945617700157</v>
      </c>
      <c r="CY51">
        <f t="shared" si="19"/>
        <v>56.753854494650845</v>
      </c>
      <c r="CZ51">
        <f t="shared" si="19"/>
        <v>69.778220097678044</v>
      </c>
      <c r="DA51">
        <f t="shared" si="19"/>
        <v>60.016664352494629</v>
      </c>
      <c r="DB51">
        <f t="shared" si="19"/>
        <v>65.76473218982953</v>
      </c>
      <c r="DC51">
        <f t="shared" si="19"/>
        <v>62</v>
      </c>
      <c r="DD51">
        <f t="shared" si="19"/>
        <v>87.13208364316786</v>
      </c>
      <c r="DE51">
        <f t="shared" si="19"/>
        <v>138.00362314084367</v>
      </c>
      <c r="DF51">
        <f t="shared" si="19"/>
        <v>130.11533345459327</v>
      </c>
      <c r="DG51">
        <f t="shared" si="19"/>
        <v>118.35962149314267</v>
      </c>
      <c r="DH51">
        <f t="shared" si="19"/>
        <v>62.169124169478209</v>
      </c>
      <c r="DI51">
        <f t="shared" si="19"/>
        <v>119.60351165413162</v>
      </c>
      <c r="DJ51">
        <f t="shared" si="19"/>
        <v>107.0420478129973</v>
      </c>
      <c r="DK51">
        <f t="shared" si="19"/>
        <v>43.416586692184822</v>
      </c>
      <c r="DL51">
        <f t="shared" si="19"/>
        <v>34.785054261852174</v>
      </c>
      <c r="DM51">
        <f t="shared" si="19"/>
        <v>114.97825881443848</v>
      </c>
      <c r="DN51">
        <f t="shared" si="19"/>
        <v>40.024992192379003</v>
      </c>
      <c r="DO51">
        <f t="shared" si="19"/>
        <v>7.0710678118654755</v>
      </c>
    </row>
    <row r="52" spans="1:119">
      <c r="A52" t="s">
        <v>19</v>
      </c>
      <c r="C52">
        <f>SQRT((C$45-$E$47)^2+(C$46-$E$48)^2)</f>
        <v>74.168726563154635</v>
      </c>
      <c r="D52">
        <f t="shared" ref="D52:BO52" si="20">SQRT((D$45-$E$47)^2+(D$46-$E$48)^2)</f>
        <v>120.60265337047937</v>
      </c>
      <c r="E52">
        <f t="shared" si="20"/>
        <v>85.702975444263316</v>
      </c>
      <c r="F52">
        <f t="shared" si="20"/>
        <v>85.328775919967356</v>
      </c>
      <c r="G52">
        <f t="shared" si="20"/>
        <v>119.63277142990545</v>
      </c>
      <c r="H52">
        <f t="shared" si="20"/>
        <v>101</v>
      </c>
      <c r="I52">
        <f t="shared" si="20"/>
        <v>96.607453128627711</v>
      </c>
      <c r="J52">
        <f t="shared" si="20"/>
        <v>65.115282384398824</v>
      </c>
      <c r="K52">
        <f t="shared" si="20"/>
        <v>79.624116949577527</v>
      </c>
      <c r="L52">
        <f t="shared" si="20"/>
        <v>96.254870006665115</v>
      </c>
      <c r="M52">
        <f t="shared" si="20"/>
        <v>96.176920308356728</v>
      </c>
      <c r="N52">
        <f t="shared" si="20"/>
        <v>126.763559432512</v>
      </c>
      <c r="O52">
        <f t="shared" si="20"/>
        <v>113.74093370462545</v>
      </c>
      <c r="P52">
        <f t="shared" si="20"/>
        <v>63.134776470658387</v>
      </c>
      <c r="Q52">
        <f t="shared" si="20"/>
        <v>134.53624047073711</v>
      </c>
      <c r="R52">
        <f t="shared" si="20"/>
        <v>97.580735803743565</v>
      </c>
      <c r="S52">
        <f t="shared" si="20"/>
        <v>55.226805085936306</v>
      </c>
      <c r="T52">
        <f t="shared" si="20"/>
        <v>21.633307652783937</v>
      </c>
      <c r="U52">
        <f t="shared" si="20"/>
        <v>84.118963379252364</v>
      </c>
      <c r="V52">
        <f t="shared" si="20"/>
        <v>67.601775124622279</v>
      </c>
      <c r="W52">
        <f t="shared" si="20"/>
        <v>18.027756377319946</v>
      </c>
      <c r="X52">
        <f t="shared" si="20"/>
        <v>78</v>
      </c>
      <c r="Y52">
        <f t="shared" si="20"/>
        <v>98.478424032881435</v>
      </c>
      <c r="Z52">
        <f t="shared" si="20"/>
        <v>89.022469073824283</v>
      </c>
      <c r="AA52">
        <f t="shared" si="20"/>
        <v>93.861600242058515</v>
      </c>
      <c r="AB52">
        <f t="shared" si="20"/>
        <v>97.020616365801345</v>
      </c>
      <c r="AC52">
        <f t="shared" si="20"/>
        <v>132.92479076530458</v>
      </c>
      <c r="AD52">
        <f t="shared" si="20"/>
        <v>127.7810627597063</v>
      </c>
      <c r="AE52">
        <f t="shared" si="20"/>
        <v>116.81181447096864</v>
      </c>
      <c r="AF52">
        <f t="shared" si="20"/>
        <v>105.41821474489122</v>
      </c>
      <c r="AG52">
        <f t="shared" si="20"/>
        <v>99.297532698451278</v>
      </c>
      <c r="AH52">
        <f t="shared" si="20"/>
        <v>92.005434622091755</v>
      </c>
      <c r="AI52">
        <f t="shared" si="20"/>
        <v>17.029386365926403</v>
      </c>
      <c r="AJ52">
        <f t="shared" si="20"/>
        <v>75.059976019180823</v>
      </c>
      <c r="AK52">
        <f t="shared" si="20"/>
        <v>134.61797799699713</v>
      </c>
      <c r="AL52">
        <f t="shared" si="20"/>
        <v>135.14806694880988</v>
      </c>
      <c r="AM52">
        <f t="shared" si="20"/>
        <v>118.84864324004712</v>
      </c>
      <c r="AN52">
        <f t="shared" si="20"/>
        <v>38.483762809787713</v>
      </c>
      <c r="AO52">
        <f t="shared" si="20"/>
        <v>20.615528128088304</v>
      </c>
      <c r="AP52">
        <f t="shared" si="20"/>
        <v>122.19656296312102</v>
      </c>
      <c r="AQ52">
        <f t="shared" si="20"/>
        <v>89.185200566013194</v>
      </c>
      <c r="AR52">
        <f t="shared" si="20"/>
        <v>99.76472322419383</v>
      </c>
      <c r="AS52">
        <f t="shared" si="20"/>
        <v>71</v>
      </c>
      <c r="AT52">
        <f t="shared" si="20"/>
        <v>117.33712115098103</v>
      </c>
      <c r="AU52">
        <f t="shared" si="20"/>
        <v>86.977008456258133</v>
      </c>
      <c r="AV52">
        <f t="shared" si="20"/>
        <v>108.22661410207751</v>
      </c>
      <c r="AW52">
        <f t="shared" si="20"/>
        <v>42.953463189829058</v>
      </c>
      <c r="AX52">
        <f t="shared" si="20"/>
        <v>102.83968105745953</v>
      </c>
      <c r="AY52">
        <f t="shared" si="20"/>
        <v>153.57408635573907</v>
      </c>
      <c r="AZ52">
        <f t="shared" si="20"/>
        <v>89.805345052507874</v>
      </c>
      <c r="BA52">
        <f t="shared" si="20"/>
        <v>65.490457320131767</v>
      </c>
      <c r="BB52">
        <f t="shared" si="20"/>
        <v>104.75208828467335</v>
      </c>
      <c r="BC52">
        <f t="shared" si="20"/>
        <v>55.326304774492215</v>
      </c>
      <c r="BD52">
        <f t="shared" si="20"/>
        <v>34.928498393145958</v>
      </c>
      <c r="BE52">
        <f t="shared" si="20"/>
        <v>99.201814499534237</v>
      </c>
      <c r="BF52">
        <f t="shared" si="20"/>
        <v>114.52947218947619</v>
      </c>
      <c r="BG52">
        <f t="shared" si="20"/>
        <v>147.08500943332058</v>
      </c>
      <c r="BH52">
        <f t="shared" si="20"/>
        <v>86.05230967266364</v>
      </c>
      <c r="BI52">
        <f t="shared" si="20"/>
        <v>53.235326616824658</v>
      </c>
      <c r="BJ52">
        <f t="shared" si="20"/>
        <v>101.35580891098448</v>
      </c>
      <c r="BK52">
        <f t="shared" si="20"/>
        <v>98.843310345212544</v>
      </c>
      <c r="BL52">
        <f t="shared" si="20"/>
        <v>87.709748602991681</v>
      </c>
      <c r="BM52">
        <f t="shared" si="20"/>
        <v>131.24404748406687</v>
      </c>
      <c r="BN52">
        <f t="shared" si="20"/>
        <v>78.771822373231913</v>
      </c>
      <c r="BO52">
        <f t="shared" si="20"/>
        <v>111.00450441310929</v>
      </c>
      <c r="BP52">
        <f t="shared" ref="BP52:DO52" si="21">SQRT((BP$45-$E$47)^2+(BP$46-$E$48)^2)</f>
        <v>85.883642214335552</v>
      </c>
      <c r="BQ52">
        <f t="shared" si="21"/>
        <v>153.48289807011074</v>
      </c>
      <c r="BR52">
        <f t="shared" si="21"/>
        <v>59.22837157984339</v>
      </c>
      <c r="BS52">
        <f t="shared" si="21"/>
        <v>108.70602559196064</v>
      </c>
      <c r="BT52">
        <f t="shared" si="21"/>
        <v>84.172442046075858</v>
      </c>
      <c r="BU52">
        <f t="shared" si="21"/>
        <v>79.630396206473819</v>
      </c>
      <c r="BV52">
        <f t="shared" si="21"/>
        <v>103.46980235798269</v>
      </c>
      <c r="BW52">
        <f t="shared" si="21"/>
        <v>47.423622805517503</v>
      </c>
      <c r="BX52">
        <f t="shared" si="21"/>
        <v>44.407206622349037</v>
      </c>
      <c r="BY52">
        <f t="shared" si="21"/>
        <v>74.330343736592525</v>
      </c>
      <c r="BZ52">
        <f t="shared" si="21"/>
        <v>78.236819976274603</v>
      </c>
      <c r="CA52">
        <f t="shared" si="21"/>
        <v>132.43866504914644</v>
      </c>
      <c r="CB52">
        <f t="shared" si="21"/>
        <v>105.11898020814318</v>
      </c>
      <c r="CC52">
        <f t="shared" si="21"/>
        <v>42.449970553582247</v>
      </c>
      <c r="CD52">
        <f t="shared" si="21"/>
        <v>52.345009313209601</v>
      </c>
      <c r="CE52">
        <f t="shared" si="21"/>
        <v>5.6568542494923806</v>
      </c>
      <c r="CF52">
        <f t="shared" si="21"/>
        <v>115.20850663036997</v>
      </c>
      <c r="CG52">
        <f t="shared" si="21"/>
        <v>114.54256850621083</v>
      </c>
      <c r="CH52">
        <f t="shared" si="21"/>
        <v>54.626001134990652</v>
      </c>
      <c r="CI52">
        <f t="shared" si="21"/>
        <v>102.59142264341595</v>
      </c>
      <c r="CJ52">
        <f t="shared" si="21"/>
        <v>120.74767078498864</v>
      </c>
      <c r="CK52">
        <f t="shared" si="21"/>
        <v>41.593268686170845</v>
      </c>
      <c r="CL52">
        <f t="shared" si="21"/>
        <v>108.70602559196064</v>
      </c>
      <c r="CM52">
        <f t="shared" si="21"/>
        <v>88.566359301938121</v>
      </c>
      <c r="CN52">
        <f t="shared" si="21"/>
        <v>57.489129407219238</v>
      </c>
      <c r="CO52">
        <f t="shared" si="21"/>
        <v>57.801384066473702</v>
      </c>
      <c r="CP52">
        <f t="shared" si="21"/>
        <v>52.354560450833695</v>
      </c>
      <c r="CQ52">
        <f t="shared" si="21"/>
        <v>82.200973230248309</v>
      </c>
      <c r="CR52">
        <f t="shared" si="21"/>
        <v>55.569775957799216</v>
      </c>
      <c r="CS52">
        <f t="shared" si="21"/>
        <v>100.24470060806208</v>
      </c>
      <c r="CT52">
        <f t="shared" si="21"/>
        <v>112.89818421923357</v>
      </c>
      <c r="CU52">
        <f t="shared" si="21"/>
        <v>111.77208953938367</v>
      </c>
      <c r="CV52">
        <f t="shared" si="21"/>
        <v>71.28113354878694</v>
      </c>
      <c r="CW52">
        <f t="shared" si="21"/>
        <v>101.21264743103995</v>
      </c>
      <c r="CX52">
        <f t="shared" si="21"/>
        <v>63.890531379853151</v>
      </c>
      <c r="CY52">
        <f t="shared" si="21"/>
        <v>62.585940913275401</v>
      </c>
      <c r="CZ52">
        <f t="shared" si="21"/>
        <v>60.901559914340453</v>
      </c>
      <c r="DA52">
        <f t="shared" si="21"/>
        <v>58.051701094799967</v>
      </c>
      <c r="DB52">
        <f t="shared" si="21"/>
        <v>124.34226956268733</v>
      </c>
      <c r="DC52">
        <f t="shared" si="21"/>
        <v>131.52946437965906</v>
      </c>
      <c r="DD52">
        <f t="shared" si="21"/>
        <v>133.41664064126334</v>
      </c>
      <c r="DE52">
        <f t="shared" si="21"/>
        <v>116.09048195265622</v>
      </c>
      <c r="DF52">
        <f t="shared" si="21"/>
        <v>93.861600242058515</v>
      </c>
      <c r="DG52">
        <f t="shared" si="21"/>
        <v>144.80676779764127</v>
      </c>
      <c r="DH52">
        <f t="shared" si="21"/>
        <v>65.79513659838392</v>
      </c>
      <c r="DI52">
        <f t="shared" si="21"/>
        <v>85.702975444263316</v>
      </c>
      <c r="DJ52">
        <f t="shared" si="21"/>
        <v>9.4868329805051381</v>
      </c>
      <c r="DK52">
        <f t="shared" si="21"/>
        <v>73.246160308919954</v>
      </c>
      <c r="DL52">
        <f t="shared" si="21"/>
        <v>110.06361796706484</v>
      </c>
      <c r="DM52">
        <f t="shared" si="21"/>
        <v>143.68020044529447</v>
      </c>
      <c r="DN52">
        <f t="shared" si="21"/>
        <v>113.88590782006349</v>
      </c>
      <c r="DO52">
        <f t="shared" si="21"/>
        <v>115.21284650593439</v>
      </c>
    </row>
    <row r="53" spans="1:119">
      <c r="A53" t="s">
        <v>27</v>
      </c>
      <c r="C53">
        <f>SQRT((C$45-$D$47)^2+(C$46-$D$48)^2)</f>
        <v>55.362442142665635</v>
      </c>
      <c r="D53">
        <f t="shared" ref="D53:BO53" si="22">SQRT((D$45-$D$47)^2+(D$46-$D$48)^2)</f>
        <v>63.158530698552511</v>
      </c>
      <c r="E53">
        <f t="shared" si="22"/>
        <v>48.548944375753422</v>
      </c>
      <c r="F53">
        <f t="shared" si="22"/>
        <v>50.24937810560445</v>
      </c>
      <c r="G53">
        <f t="shared" si="22"/>
        <v>39.395431207184416</v>
      </c>
      <c r="H53">
        <f t="shared" si="22"/>
        <v>72.201108024738787</v>
      </c>
      <c r="I53">
        <f t="shared" si="22"/>
        <v>20.024984394500787</v>
      </c>
      <c r="J53">
        <f t="shared" si="22"/>
        <v>17.204650534085253</v>
      </c>
      <c r="K53">
        <f t="shared" si="22"/>
        <v>46.518813398452032</v>
      </c>
      <c r="L53">
        <f t="shared" si="22"/>
        <v>23.769728648009426</v>
      </c>
      <c r="M53">
        <f t="shared" si="22"/>
        <v>33.61547262794322</v>
      </c>
      <c r="N53">
        <f t="shared" si="22"/>
        <v>52.239831546435909</v>
      </c>
      <c r="O53">
        <f t="shared" si="22"/>
        <v>41.048751503547585</v>
      </c>
      <c r="P53">
        <f t="shared" si="22"/>
        <v>27.166155414412248</v>
      </c>
      <c r="Q53">
        <f t="shared" si="22"/>
        <v>52.801515129776341</v>
      </c>
      <c r="R53">
        <f t="shared" si="22"/>
        <v>15.556349186104045</v>
      </c>
      <c r="S53">
        <f t="shared" si="22"/>
        <v>31.016124838541646</v>
      </c>
      <c r="T53">
        <f t="shared" si="22"/>
        <v>60.959002616512684</v>
      </c>
      <c r="U53">
        <f t="shared" si="22"/>
        <v>38.832975677895199</v>
      </c>
      <c r="V53">
        <f t="shared" si="22"/>
        <v>49.819674828324601</v>
      </c>
      <c r="W53">
        <f t="shared" si="22"/>
        <v>64.443773942872099</v>
      </c>
      <c r="X53">
        <f t="shared" si="22"/>
        <v>31.304951684997057</v>
      </c>
      <c r="Y53">
        <f t="shared" si="22"/>
        <v>25.495097567963924</v>
      </c>
      <c r="Z53">
        <f t="shared" si="22"/>
        <v>64.007812023221035</v>
      </c>
      <c r="AA53">
        <f t="shared" si="22"/>
        <v>48.104053883222775</v>
      </c>
      <c r="AB53">
        <f t="shared" si="22"/>
        <v>68.24221567329127</v>
      </c>
      <c r="AC53">
        <f t="shared" si="22"/>
        <v>56.293871780150276</v>
      </c>
      <c r="AD53">
        <f t="shared" si="22"/>
        <v>46.647615158762406</v>
      </c>
      <c r="AE53">
        <f t="shared" si="22"/>
        <v>53.450912059571067</v>
      </c>
      <c r="AF53">
        <f t="shared" si="22"/>
        <v>23.600847442411894</v>
      </c>
      <c r="AG53">
        <f t="shared" si="22"/>
        <v>44.407206622349037</v>
      </c>
      <c r="AH53">
        <f t="shared" si="22"/>
        <v>66.370174024180471</v>
      </c>
      <c r="AI53">
        <f t="shared" si="22"/>
        <v>70.213958726167832</v>
      </c>
      <c r="AJ53">
        <f t="shared" si="22"/>
        <v>57.56735185849702</v>
      </c>
      <c r="AK53">
        <f t="shared" si="22"/>
        <v>53.009433122794285</v>
      </c>
      <c r="AL53">
        <f t="shared" si="22"/>
        <v>53.263495942343098</v>
      </c>
      <c r="AM53">
        <f t="shared" si="22"/>
        <v>53.600373133029585</v>
      </c>
      <c r="AN53">
        <f t="shared" si="22"/>
        <v>47.885279575251516</v>
      </c>
      <c r="AO53">
        <f t="shared" si="22"/>
        <v>65.215028942721474</v>
      </c>
      <c r="AP53">
        <f t="shared" si="22"/>
        <v>57.723478758647246</v>
      </c>
      <c r="AQ53">
        <f t="shared" si="22"/>
        <v>41.109609582188931</v>
      </c>
      <c r="AR53">
        <f t="shared" si="22"/>
        <v>18.027756377319946</v>
      </c>
      <c r="AS53">
        <f t="shared" si="22"/>
        <v>59.439044406854322</v>
      </c>
      <c r="AT53">
        <f t="shared" si="22"/>
        <v>44</v>
      </c>
      <c r="AU53">
        <f t="shared" si="22"/>
        <v>53</v>
      </c>
      <c r="AV53">
        <f t="shared" si="22"/>
        <v>71.421285342676384</v>
      </c>
      <c r="AW53">
        <f t="shared" si="22"/>
        <v>44.283179650969061</v>
      </c>
      <c r="AX53">
        <f t="shared" si="22"/>
        <v>54.037024344425184</v>
      </c>
      <c r="AY53">
        <f t="shared" si="22"/>
        <v>71.700767080973407</v>
      </c>
      <c r="AZ53">
        <f t="shared" si="22"/>
        <v>7.810249675906654</v>
      </c>
      <c r="BA53">
        <f t="shared" si="22"/>
        <v>50.487622245457352</v>
      </c>
      <c r="BB53">
        <f t="shared" si="22"/>
        <v>45.177427992306072</v>
      </c>
      <c r="BC53">
        <f t="shared" si="22"/>
        <v>52.086466572421671</v>
      </c>
      <c r="BD53">
        <f t="shared" si="22"/>
        <v>55.461698495448189</v>
      </c>
      <c r="BE53">
        <f t="shared" si="22"/>
        <v>21.095023109728988</v>
      </c>
      <c r="BF53">
        <f t="shared" si="22"/>
        <v>73.109506905736964</v>
      </c>
      <c r="BG53">
        <f t="shared" si="22"/>
        <v>65.069193939989759</v>
      </c>
      <c r="BH53">
        <f t="shared" si="22"/>
        <v>9.8488578017961039</v>
      </c>
      <c r="BI53">
        <f t="shared" si="22"/>
        <v>34.785054261852174</v>
      </c>
      <c r="BJ53">
        <f t="shared" si="22"/>
        <v>29.614185789921695</v>
      </c>
      <c r="BK53">
        <f t="shared" si="22"/>
        <v>55.154328932550705</v>
      </c>
      <c r="BL53">
        <f t="shared" si="22"/>
        <v>24.839484696748443</v>
      </c>
      <c r="BM53">
        <f t="shared" si="22"/>
        <v>52.201532544552748</v>
      </c>
      <c r="BN53">
        <f t="shared" si="22"/>
        <v>17</v>
      </c>
      <c r="BO53">
        <f t="shared" si="22"/>
        <v>63.007936008093459</v>
      </c>
      <c r="BP53">
        <f t="shared" ref="BP53:DO53" si="23">SQRT((BP$45-$D$47)^2+(BP$46-$D$48)^2)</f>
        <v>25.45584412271571</v>
      </c>
      <c r="BQ53">
        <f t="shared" si="23"/>
        <v>71.505244562899023</v>
      </c>
      <c r="BR53">
        <f t="shared" si="23"/>
        <v>46</v>
      </c>
      <c r="BS53">
        <f t="shared" si="23"/>
        <v>38.639358172723313</v>
      </c>
      <c r="BT53">
        <f t="shared" si="23"/>
        <v>50.606323715519977</v>
      </c>
      <c r="BU53">
        <f t="shared" si="23"/>
        <v>52.392747589718944</v>
      </c>
      <c r="BV53">
        <f t="shared" si="23"/>
        <v>27.018512172212592</v>
      </c>
      <c r="BW53">
        <f t="shared" si="23"/>
        <v>40.853396431630991</v>
      </c>
      <c r="BX53">
        <f t="shared" si="23"/>
        <v>38.832975677895199</v>
      </c>
      <c r="BY53">
        <f t="shared" si="23"/>
        <v>38.275318418009277</v>
      </c>
      <c r="BZ53">
        <f t="shared" si="23"/>
        <v>14.317821063276353</v>
      </c>
      <c r="CA53">
        <f t="shared" si="23"/>
        <v>51.884487084291386</v>
      </c>
      <c r="CB53">
        <f t="shared" si="23"/>
        <v>58.258046654518033</v>
      </c>
      <c r="CC53">
        <f t="shared" si="23"/>
        <v>39.623225512317902</v>
      </c>
      <c r="CD53">
        <f t="shared" si="23"/>
        <v>29.732137494637012</v>
      </c>
      <c r="CE53">
        <f t="shared" si="23"/>
        <v>76.367532368147138</v>
      </c>
      <c r="CF53">
        <f t="shared" si="23"/>
        <v>36.400549446402593</v>
      </c>
      <c r="CG53">
        <f t="shared" si="23"/>
        <v>63.812224534175265</v>
      </c>
      <c r="CH53">
        <f t="shared" si="23"/>
        <v>36.878177829171548</v>
      </c>
      <c r="CI53">
        <f t="shared" si="23"/>
        <v>20.808652046684813</v>
      </c>
      <c r="CJ53">
        <f t="shared" si="23"/>
        <v>50.159744815937813</v>
      </c>
      <c r="CK53">
        <f t="shared" si="23"/>
        <v>44.294469180700204</v>
      </c>
      <c r="CL53">
        <f t="shared" si="23"/>
        <v>38.639358172723313</v>
      </c>
      <c r="CM53">
        <f t="shared" si="23"/>
        <v>29.732137494637012</v>
      </c>
      <c r="CN53">
        <f t="shared" si="23"/>
        <v>45.044422518220834</v>
      </c>
      <c r="CO53">
        <f t="shared" si="23"/>
        <v>25.942243542145693</v>
      </c>
      <c r="CP53">
        <f t="shared" si="23"/>
        <v>35.114099732158877</v>
      </c>
      <c r="CQ53">
        <f t="shared" si="23"/>
        <v>12.041594578792296</v>
      </c>
      <c r="CR53">
        <f t="shared" si="23"/>
        <v>31.622776601683793</v>
      </c>
      <c r="CS53">
        <f t="shared" si="23"/>
        <v>45.221676218380054</v>
      </c>
      <c r="CT53">
        <f t="shared" si="23"/>
        <v>37.12142238654117</v>
      </c>
      <c r="CU53">
        <f t="shared" si="23"/>
        <v>35.227829907617071</v>
      </c>
      <c r="CV53">
        <f t="shared" si="23"/>
        <v>18.027756377319946</v>
      </c>
      <c r="CW53">
        <f t="shared" si="23"/>
        <v>31.048349392520048</v>
      </c>
      <c r="CX53">
        <f t="shared" si="23"/>
        <v>19.235384061671343</v>
      </c>
      <c r="CY53">
        <f t="shared" si="23"/>
        <v>44.10215414239989</v>
      </c>
      <c r="CZ53">
        <f t="shared" si="23"/>
        <v>28.442925306655784</v>
      </c>
      <c r="DA53">
        <f t="shared" si="23"/>
        <v>47.010637094172637</v>
      </c>
      <c r="DB53">
        <f t="shared" si="23"/>
        <v>48.507731342539614</v>
      </c>
      <c r="DC53">
        <f t="shared" si="23"/>
        <v>58.137767414994535</v>
      </c>
      <c r="DD53">
        <f t="shared" si="23"/>
        <v>52.153619241621193</v>
      </c>
      <c r="DE53">
        <f t="shared" si="23"/>
        <v>58.180752831155424</v>
      </c>
      <c r="DF53">
        <f t="shared" si="23"/>
        <v>48.104053883222775</v>
      </c>
      <c r="DG53">
        <f t="shared" si="23"/>
        <v>64.41273166075166</v>
      </c>
      <c r="DH53">
        <f t="shared" si="23"/>
        <v>31.064449134018133</v>
      </c>
      <c r="DI53">
        <f t="shared" si="23"/>
        <v>37.802116342871599</v>
      </c>
      <c r="DJ53">
        <f t="shared" si="23"/>
        <v>73.661387442811588</v>
      </c>
      <c r="DK53">
        <f t="shared" si="23"/>
        <v>54.120236510939236</v>
      </c>
      <c r="DL53">
        <f t="shared" si="23"/>
        <v>53.235326616824658</v>
      </c>
      <c r="DM53">
        <f t="shared" si="23"/>
        <v>62.769419305900861</v>
      </c>
      <c r="DN53">
        <f t="shared" si="23"/>
        <v>52.55473337388365</v>
      </c>
      <c r="DO53">
        <f t="shared" si="23"/>
        <v>76.485292703891773</v>
      </c>
    </row>
    <row r="54" spans="1:119">
      <c r="B54" t="s">
        <v>20</v>
      </c>
      <c r="C54" t="s">
        <v>21</v>
      </c>
      <c r="D54" t="str">
        <f>A45</f>
        <v>LNG rank</v>
      </c>
      <c r="E54" t="str">
        <f>A46</f>
        <v>LSFO-diesel rank</v>
      </c>
      <c r="F54" t="s">
        <v>22</v>
      </c>
      <c r="G54" t="s">
        <v>23</v>
      </c>
    </row>
    <row r="55" spans="1:119">
      <c r="A55" t="str">
        <f>RIGHT(A49, 7)</f>
        <v>min/min</v>
      </c>
      <c r="B55">
        <f>MIN(C49:DO49)</f>
        <v>11.180339887498949</v>
      </c>
      <c r="C55">
        <f>MATCH(B55, C49:DO49, 0)</f>
        <v>67</v>
      </c>
      <c r="D55">
        <f>INDEX($C$45:$DO$45, $C55)</f>
        <v>11</v>
      </c>
      <c r="E55">
        <f>INDEX($C$46:$DO$46, $C55)</f>
        <v>6</v>
      </c>
      <c r="F55">
        <f>INDEX($C$43:$DO$43, $C55)</f>
        <v>6.3629949721100001</v>
      </c>
      <c r="G55">
        <f>INDEX($C$44:$DO$44, $C55)</f>
        <v>12.2907375934725</v>
      </c>
    </row>
    <row r="56" spans="1:119">
      <c r="A56" t="str">
        <f t="shared" ref="A56:A59" si="24">RIGHT(A50, 7)</f>
        <v>min/max</v>
      </c>
      <c r="B56">
        <f t="shared" ref="B56:B59" si="25">MIN(C50:DO50)</f>
        <v>10.63014581273465</v>
      </c>
      <c r="C56">
        <f t="shared" ref="C56:C59" si="26">MATCH(B56, C50:DO50, 0)</f>
        <v>46</v>
      </c>
      <c r="D56">
        <f t="shared" ref="D56:E59" si="27">INDEX($C$45:$DO$45, $C56)</f>
        <v>9</v>
      </c>
      <c r="E56">
        <f t="shared" ref="E56:E59" si="28">INDEX($C$46:$DO$46, $C56)</f>
        <v>110</v>
      </c>
      <c r="F56">
        <f t="shared" ref="D56:F59" si="29">INDEX($C$43:$DO$43, $C56)</f>
        <v>6.2797579070000005</v>
      </c>
      <c r="G56">
        <f t="shared" ref="E56:G59" si="30">INDEX($C$44:$DO$44, $C56)</f>
        <v>349.61683535192498</v>
      </c>
    </row>
    <row r="57" spans="1:119">
      <c r="A57" t="str">
        <f t="shared" si="24"/>
        <v>max/min</v>
      </c>
      <c r="B57">
        <f t="shared" si="25"/>
        <v>7.0710678118654755</v>
      </c>
      <c r="C57">
        <f t="shared" si="26"/>
        <v>117</v>
      </c>
      <c r="D57">
        <f t="shared" si="27"/>
        <v>110</v>
      </c>
      <c r="E57">
        <f t="shared" si="28"/>
        <v>2</v>
      </c>
      <c r="F57">
        <f t="shared" si="29"/>
        <v>181.88227895885001</v>
      </c>
      <c r="G57">
        <f t="shared" si="30"/>
        <v>10.072257011587501</v>
      </c>
    </row>
    <row r="58" spans="1:119">
      <c r="A58" t="str">
        <f t="shared" si="24"/>
        <v>max/max</v>
      </c>
      <c r="B58">
        <f t="shared" si="25"/>
        <v>5.6568542494923806</v>
      </c>
      <c r="C58">
        <f t="shared" si="26"/>
        <v>81</v>
      </c>
      <c r="D58">
        <f t="shared" si="27"/>
        <v>113</v>
      </c>
      <c r="E58">
        <f t="shared" si="28"/>
        <v>113</v>
      </c>
      <c r="F58">
        <f t="shared" si="29"/>
        <v>550.79370695397506</v>
      </c>
      <c r="G58">
        <f t="shared" si="30"/>
        <v>452.78212958612505</v>
      </c>
    </row>
    <row r="59" spans="1:119">
      <c r="A59" t="str">
        <f t="shared" si="24"/>
        <v>med/med</v>
      </c>
      <c r="B59">
        <f t="shared" si="25"/>
        <v>7.810249675906654</v>
      </c>
      <c r="C59">
        <f t="shared" si="26"/>
        <v>50</v>
      </c>
      <c r="D59">
        <f t="shared" si="27"/>
        <v>53</v>
      </c>
      <c r="E59">
        <f t="shared" si="28"/>
        <v>54</v>
      </c>
      <c r="F59">
        <f t="shared" si="29"/>
        <v>9.5665728903599998</v>
      </c>
      <c r="G59">
        <f t="shared" si="30"/>
        <v>64.881917189924991</v>
      </c>
    </row>
    <row r="61" spans="1:119">
      <c r="C61">
        <v>1</v>
      </c>
      <c r="D61">
        <v>2</v>
      </c>
      <c r="E61">
        <v>3</v>
      </c>
      <c r="F61">
        <v>4</v>
      </c>
      <c r="G61">
        <v>5</v>
      </c>
    </row>
    <row r="62" spans="1:119">
      <c r="C62">
        <f>INDEX($C$55:$C$59, C$61)</f>
        <v>67</v>
      </c>
      <c r="D62">
        <f t="shared" ref="D62:G62" si="31">INDEX($C$55:$C$59, D$61)</f>
        <v>46</v>
      </c>
      <c r="E62">
        <f t="shared" si="31"/>
        <v>117</v>
      </c>
      <c r="F62">
        <f t="shared" si="31"/>
        <v>81</v>
      </c>
      <c r="G62">
        <f t="shared" si="31"/>
        <v>50</v>
      </c>
    </row>
    <row r="63" spans="1:119">
      <c r="C63" t="str">
        <f>INDEX($A$55:$A$59, C61)</f>
        <v>min/min</v>
      </c>
      <c r="D63" t="str">
        <f t="shared" ref="D63:G63" si="32">INDEX($A$55:$A$59, D61)</f>
        <v>min/max</v>
      </c>
      <c r="E63" t="str">
        <f t="shared" si="32"/>
        <v>max/min</v>
      </c>
      <c r="F63" t="str">
        <f t="shared" si="32"/>
        <v>max/max</v>
      </c>
      <c r="G63" t="str">
        <f t="shared" si="32"/>
        <v>med/med</v>
      </c>
      <c r="H63" t="s">
        <v>28</v>
      </c>
    </row>
    <row r="64" spans="1:119">
      <c r="A64" t="str">
        <f>A14</f>
        <v>Hawaii_LNGbulk</v>
      </c>
      <c r="B64">
        <f>B14</f>
        <v>2021</v>
      </c>
      <c r="C64">
        <f>INDEX($C14:$DO14, C$62)</f>
        <v>7.4439237515399999</v>
      </c>
      <c r="D64">
        <f t="shared" ref="D64:G64" si="33">INDEX($C14:$DO14, D$62)</f>
        <v>6.3531972966700003</v>
      </c>
      <c r="E64">
        <f t="shared" si="33"/>
        <v>7.7343219072</v>
      </c>
      <c r="F64">
        <f t="shared" si="33"/>
        <v>23.565121377899999</v>
      </c>
      <c r="G64">
        <f t="shared" si="33"/>
        <v>16.177761092499999</v>
      </c>
      <c r="H64">
        <f>C34</f>
        <v>13.296434682551112</v>
      </c>
    </row>
    <row r="65" spans="1:8">
      <c r="A65" t="str">
        <f t="shared" ref="A65:B67" si="34">A15</f>
        <v>Hawaii_LNGbulk</v>
      </c>
      <c r="B65">
        <f t="shared" si="34"/>
        <v>2029</v>
      </c>
      <c r="C65">
        <f t="shared" ref="C65:G65" si="35">INDEX($C15:$DO15, C$62)</f>
        <v>6.0022482331000004</v>
      </c>
      <c r="D65">
        <f t="shared" si="35"/>
        <v>6.2743019005200003</v>
      </c>
      <c r="E65">
        <f t="shared" si="35"/>
        <v>17.626076326700002</v>
      </c>
      <c r="F65">
        <f t="shared" si="35"/>
        <v>370.117977118</v>
      </c>
      <c r="G65">
        <f t="shared" si="35"/>
        <v>9.4350187692399992</v>
      </c>
      <c r="H65">
        <f t="shared" ref="H65:H71" si="36">C35</f>
        <v>32.603963028020345</v>
      </c>
    </row>
    <row r="66" spans="1:8">
      <c r="A66" t="str">
        <f t="shared" si="34"/>
        <v>Hawaii_LNGbulk</v>
      </c>
      <c r="B66">
        <f t="shared" si="34"/>
        <v>2037</v>
      </c>
      <c r="C66">
        <f t="shared" ref="C66:G66" si="37">INDEX($C16:$DO16, C$62)</f>
        <v>6.0005516918800001</v>
      </c>
      <c r="D66">
        <f t="shared" si="37"/>
        <v>6.2591469508499999</v>
      </c>
      <c r="E66">
        <f t="shared" si="37"/>
        <v>39.481066292500003</v>
      </c>
      <c r="F66">
        <f t="shared" si="37"/>
        <v>502.25907228</v>
      </c>
      <c r="G66">
        <f t="shared" si="37"/>
        <v>6.3814374082</v>
      </c>
      <c r="H66">
        <f t="shared" si="36"/>
        <v>109.96454852258675</v>
      </c>
    </row>
    <row r="67" spans="1:8">
      <c r="A67" t="str">
        <f t="shared" si="34"/>
        <v>Hawaii_LNGbulk</v>
      </c>
      <c r="B67">
        <f t="shared" si="34"/>
        <v>2045</v>
      </c>
      <c r="C67">
        <f t="shared" ref="C67:G67" si="38">INDEX($C17:$DO17, C$62)</f>
        <v>6.0052562119199999</v>
      </c>
      <c r="D67">
        <f t="shared" si="38"/>
        <v>6.2323854799599996</v>
      </c>
      <c r="E67">
        <f t="shared" si="38"/>
        <v>662.68765130899999</v>
      </c>
      <c r="F67">
        <f t="shared" si="38"/>
        <v>1307.23265704</v>
      </c>
      <c r="G67">
        <f t="shared" si="38"/>
        <v>6.2720742915000001</v>
      </c>
      <c r="H67">
        <f t="shared" si="36"/>
        <v>108.37079136685388</v>
      </c>
    </row>
    <row r="68" spans="1:8">
      <c r="A68" t="str">
        <f>A26</f>
        <v>Hawaii_LSFO-Diesel-Blend</v>
      </c>
      <c r="B68">
        <f>B26</f>
        <v>2021</v>
      </c>
      <c r="C68">
        <f>INDEX($C26:$DO26, C$62)</f>
        <v>16.379345496300001</v>
      </c>
      <c r="D68">
        <f t="shared" ref="D68:G68" si="39">INDEX($C26:$DO26, D$62)</f>
        <v>32.711005324699997</v>
      </c>
      <c r="E68">
        <f t="shared" si="39"/>
        <v>10.8841437075</v>
      </c>
      <c r="F68">
        <f t="shared" si="39"/>
        <v>51.166171595500003</v>
      </c>
      <c r="G68">
        <f t="shared" si="39"/>
        <v>26.207721950700002</v>
      </c>
      <c r="H68">
        <f t="shared" si="36"/>
        <v>30.311564382545647</v>
      </c>
    </row>
    <row r="69" spans="1:8">
      <c r="A69" t="str">
        <f t="shared" ref="A69:B71" si="40">A27</f>
        <v>Hawaii_LSFO-Diesel-Blend</v>
      </c>
      <c r="B69">
        <f t="shared" si="40"/>
        <v>2029</v>
      </c>
      <c r="C69">
        <f t="shared" ref="C69:G69" si="41">INDEX($C27:$DO27, C$62)</f>
        <v>7.4366421269199998</v>
      </c>
      <c r="D69">
        <f t="shared" si="41"/>
        <v>123.195952236</v>
      </c>
      <c r="E69">
        <f t="shared" si="41"/>
        <v>9.2529402082600001</v>
      </c>
      <c r="F69">
        <f t="shared" si="41"/>
        <v>100.03159718800001</v>
      </c>
      <c r="G69">
        <f t="shared" si="41"/>
        <v>33.420986776299998</v>
      </c>
      <c r="H69">
        <f t="shared" si="36"/>
        <v>57.817710622316234</v>
      </c>
    </row>
    <row r="70" spans="1:8">
      <c r="A70" t="str">
        <f t="shared" si="40"/>
        <v>Hawaii_LSFO-Diesel-Blend</v>
      </c>
      <c r="B70">
        <f t="shared" si="40"/>
        <v>2037</v>
      </c>
      <c r="C70">
        <f t="shared" ref="C70:G70" si="42">INDEX($C28:$DO28, C$62)</f>
        <v>8.5391969617699992</v>
      </c>
      <c r="D70">
        <f t="shared" si="42"/>
        <v>331.63133157099998</v>
      </c>
      <c r="E70">
        <f t="shared" si="42"/>
        <v>9.7478534169900009</v>
      </c>
      <c r="F70">
        <f t="shared" si="42"/>
        <v>458.92963235100001</v>
      </c>
      <c r="G70">
        <f t="shared" si="42"/>
        <v>113.969060008</v>
      </c>
      <c r="H70">
        <f t="shared" si="36"/>
        <v>145.00899696326874</v>
      </c>
    </row>
    <row r="71" spans="1:8">
      <c r="A71" t="str">
        <f t="shared" si="40"/>
        <v>Hawaii_LSFO-Diesel-Blend</v>
      </c>
      <c r="B71">
        <f t="shared" si="40"/>
        <v>2045</v>
      </c>
      <c r="C71">
        <f t="shared" ref="C71:G71" si="43">INDEX($C29:$DO29, C$62)</f>
        <v>16.807765788899999</v>
      </c>
      <c r="D71">
        <f t="shared" si="43"/>
        <v>910.92905227599999</v>
      </c>
      <c r="E71">
        <f t="shared" si="43"/>
        <v>10.4040907136</v>
      </c>
      <c r="F71">
        <f t="shared" si="43"/>
        <v>1201.0011172100001</v>
      </c>
      <c r="G71">
        <f t="shared" si="43"/>
        <v>85.929900024700004</v>
      </c>
      <c r="H71">
        <f t="shared" si="36"/>
        <v>294.39092515359124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fuel_supply_costs.tsv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2016-02-10T09:30:16Z</dcterms:created>
  <dcterms:modified xsi:type="dcterms:W3CDTF">2016-03-23T22:16:33Z</dcterms:modified>
</cp:coreProperties>
</file>